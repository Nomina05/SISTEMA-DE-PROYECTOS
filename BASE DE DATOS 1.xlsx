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New project\"/>
    </mc:Choice>
  </mc:AlternateContent>
  <xr:revisionPtr revIDLastSave="0" documentId="13_ncr:1_{3C2056B2-C787-484D-B8AF-718D0CFA9806}" xr6:coauthVersionLast="47" xr6:coauthVersionMax="47" xr10:uidLastSave="{00000000-0000-0000-0000-000000000000}"/>
  <bookViews>
    <workbookView xWindow="-108" yWindow="-108" windowWidth="23256" windowHeight="12576" activeTab="1" xr2:uid="{3A97DA04-AB88-4E26-AE84-2C3DCC6EE741}"/>
  </bookViews>
  <sheets>
    <sheet name="Hoja2" sheetId="2" r:id="rId1"/>
    <sheet name="Hoja2 (2)" sheetId="3" r:id="rId2"/>
  </sheets>
  <externalReferences>
    <externalReference r:id="rId3"/>
    <externalReference r:id="rId4"/>
  </externalReferences>
  <definedNames>
    <definedName name="_xlnm._FilterDatabase" localSheetId="0" hidden="1">Hoja2!$A$1:$AE$101</definedName>
    <definedName name="_xlnm._FilterDatabase" localSheetId="1" hidden="1">'Hoja2 (2)'!$A$1:$AE$103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2" l="1"/>
  <c r="Z103" i="3" l="1"/>
  <c r="Y103" i="3"/>
  <c r="X103" i="3"/>
  <c r="W103" i="3"/>
  <c r="V103" i="3"/>
  <c r="U103" i="3"/>
  <c r="T103" i="3"/>
  <c r="S103" i="3"/>
  <c r="O103" i="3"/>
  <c r="AA102" i="3"/>
  <c r="R102" i="3"/>
  <c r="M102" i="3"/>
  <c r="Q102" i="3" s="1"/>
  <c r="AA101" i="3"/>
  <c r="R101" i="3"/>
  <c r="M101" i="3"/>
  <c r="Q101" i="3" s="1"/>
  <c r="AA100" i="3"/>
  <c r="AB100" i="3" s="1"/>
  <c r="AC100" i="3" s="1"/>
  <c r="R100" i="3"/>
  <c r="Q100" i="3"/>
  <c r="AA99" i="3"/>
  <c r="R99" i="3"/>
  <c r="Q99" i="3"/>
  <c r="AA98" i="3"/>
  <c r="R98" i="3"/>
  <c r="AB98" i="3" s="1"/>
  <c r="AC98" i="3" s="1"/>
  <c r="Q98" i="3"/>
  <c r="M98" i="3"/>
  <c r="AA97" i="3"/>
  <c r="AB97" i="3" s="1"/>
  <c r="AC97" i="3" s="1"/>
  <c r="R97" i="3"/>
  <c r="M97" i="3"/>
  <c r="Q97" i="3" s="1"/>
  <c r="AA96" i="3"/>
  <c r="R96" i="3"/>
  <c r="AB96" i="3" s="1"/>
  <c r="AC96" i="3" s="1"/>
  <c r="AD96" i="3" s="1"/>
  <c r="Q96" i="3"/>
  <c r="AA95" i="3"/>
  <c r="R95" i="3"/>
  <c r="Q95" i="3"/>
  <c r="AA94" i="3"/>
  <c r="AB94" i="3" s="1"/>
  <c r="AC94" i="3" s="1"/>
  <c r="AD94" i="3" s="1"/>
  <c r="R94" i="3"/>
  <c r="Q94" i="3"/>
  <c r="AA93" i="3"/>
  <c r="AB93" i="3" s="1"/>
  <c r="AC93" i="3" s="1"/>
  <c r="R93" i="3"/>
  <c r="Q93" i="3"/>
  <c r="AA92" i="3"/>
  <c r="AB92" i="3" s="1"/>
  <c r="AC92" i="3" s="1"/>
  <c r="AD92" i="3" s="1"/>
  <c r="R92" i="3"/>
  <c r="Q92" i="3"/>
  <c r="AA91" i="3"/>
  <c r="AB91" i="3" s="1"/>
  <c r="AC91" i="3" s="1"/>
  <c r="R91" i="3"/>
  <c r="Q91" i="3"/>
  <c r="AA90" i="3"/>
  <c r="AB90" i="3" s="1"/>
  <c r="AC90" i="3" s="1"/>
  <c r="AD90" i="3" s="1"/>
  <c r="R90" i="3"/>
  <c r="Q90" i="3"/>
  <c r="AA89" i="3"/>
  <c r="R89" i="3"/>
  <c r="Q89" i="3"/>
  <c r="AA88" i="3"/>
  <c r="AB88" i="3" s="1"/>
  <c r="AC88" i="3" s="1"/>
  <c r="AD88" i="3" s="1"/>
  <c r="R88" i="3"/>
  <c r="Q88" i="3"/>
  <c r="AA87" i="3"/>
  <c r="AB87" i="3" s="1"/>
  <c r="AC87" i="3" s="1"/>
  <c r="R87" i="3"/>
  <c r="Q87" i="3"/>
  <c r="AB86" i="3"/>
  <c r="AC86" i="3" s="1"/>
  <c r="AA86" i="3"/>
  <c r="R86" i="3"/>
  <c r="Q86" i="3"/>
  <c r="AA85" i="3"/>
  <c r="AB85" i="3" s="1"/>
  <c r="AC85" i="3" s="1"/>
  <c r="R85" i="3"/>
  <c r="Q85" i="3"/>
  <c r="AB84" i="3"/>
  <c r="AC84" i="3" s="1"/>
  <c r="AD84" i="3" s="1"/>
  <c r="AA84" i="3"/>
  <c r="R84" i="3"/>
  <c r="Q84" i="3"/>
  <c r="AA83" i="3"/>
  <c r="AB83" i="3" s="1"/>
  <c r="AC83" i="3" s="1"/>
  <c r="R83" i="3"/>
  <c r="M83" i="3"/>
  <c r="Q83" i="3" s="1"/>
  <c r="AA82" i="3"/>
  <c r="AB82" i="3" s="1"/>
  <c r="AC82" i="3" s="1"/>
  <c r="R82" i="3"/>
  <c r="M82" i="3"/>
  <c r="Q82" i="3" s="1"/>
  <c r="AA81" i="3"/>
  <c r="AB81" i="3" s="1"/>
  <c r="AC81" i="3" s="1"/>
  <c r="Q81" i="3"/>
  <c r="AA80" i="3"/>
  <c r="AB80" i="3" s="1"/>
  <c r="AC80" i="3" s="1"/>
  <c r="AD80" i="3" s="1"/>
  <c r="Q80" i="3"/>
  <c r="AA79" i="3"/>
  <c r="AB79" i="3" s="1"/>
  <c r="AC79" i="3" s="1"/>
  <c r="AD79" i="3" s="1"/>
  <c r="Q79" i="3"/>
  <c r="AA78" i="3"/>
  <c r="AB78" i="3" s="1"/>
  <c r="AC78" i="3" s="1"/>
  <c r="Q78" i="3"/>
  <c r="AA77" i="3"/>
  <c r="R77" i="3"/>
  <c r="Q77" i="3"/>
  <c r="AA76" i="3"/>
  <c r="R76" i="3"/>
  <c r="AB76" i="3" s="1"/>
  <c r="AC76" i="3" s="1"/>
  <c r="Q76" i="3"/>
  <c r="AA75" i="3"/>
  <c r="AB75" i="3" s="1"/>
  <c r="AC75" i="3" s="1"/>
  <c r="R75" i="3"/>
  <c r="Q75" i="3"/>
  <c r="AA74" i="3"/>
  <c r="R74" i="3"/>
  <c r="AB74" i="3" s="1"/>
  <c r="AC74" i="3" s="1"/>
  <c r="Q74" i="3"/>
  <c r="AD74" i="3" s="1"/>
  <c r="AA73" i="3"/>
  <c r="R73" i="3"/>
  <c r="Q73" i="3"/>
  <c r="AA72" i="3"/>
  <c r="R72" i="3"/>
  <c r="AB72" i="3" s="1"/>
  <c r="AC72" i="3" s="1"/>
  <c r="Q72" i="3"/>
  <c r="AA71" i="3"/>
  <c r="AB71" i="3" s="1"/>
  <c r="AC71" i="3" s="1"/>
  <c r="R71" i="3"/>
  <c r="Q71" i="3"/>
  <c r="AA70" i="3"/>
  <c r="R70" i="3"/>
  <c r="AB70" i="3" s="1"/>
  <c r="AC70" i="3" s="1"/>
  <c r="Q70" i="3"/>
  <c r="AA69" i="3"/>
  <c r="R69" i="3"/>
  <c r="Q69" i="3"/>
  <c r="AA68" i="3"/>
  <c r="R68" i="3"/>
  <c r="AB68" i="3" s="1"/>
  <c r="AC68" i="3" s="1"/>
  <c r="Q68" i="3"/>
  <c r="AA67" i="3"/>
  <c r="AB67" i="3" s="1"/>
  <c r="AC67" i="3" s="1"/>
  <c r="R67" i="3"/>
  <c r="Q67" i="3"/>
  <c r="AA66" i="3"/>
  <c r="R66" i="3"/>
  <c r="AB66" i="3" s="1"/>
  <c r="AC66" i="3" s="1"/>
  <c r="Q66" i="3"/>
  <c r="AD66" i="3" s="1"/>
  <c r="AA65" i="3"/>
  <c r="R65" i="3"/>
  <c r="Q65" i="3"/>
  <c r="AA64" i="3"/>
  <c r="R64" i="3"/>
  <c r="AB64" i="3" s="1"/>
  <c r="AC64" i="3" s="1"/>
  <c r="Q64" i="3"/>
  <c r="AA63" i="3"/>
  <c r="AB63" i="3" s="1"/>
  <c r="AC63" i="3" s="1"/>
  <c r="R63" i="3"/>
  <c r="Q63" i="3"/>
  <c r="AA62" i="3"/>
  <c r="R62" i="3"/>
  <c r="AB62" i="3" s="1"/>
  <c r="AC62" i="3" s="1"/>
  <c r="Q62" i="3"/>
  <c r="AD62" i="3" s="1"/>
  <c r="AA61" i="3"/>
  <c r="R61" i="3"/>
  <c r="Q61" i="3"/>
  <c r="AA60" i="3"/>
  <c r="R60" i="3"/>
  <c r="AB60" i="3" s="1"/>
  <c r="AC60" i="3" s="1"/>
  <c r="Q60" i="3"/>
  <c r="AA59" i="3"/>
  <c r="AB59" i="3" s="1"/>
  <c r="AC59" i="3" s="1"/>
  <c r="R59" i="3"/>
  <c r="Q59" i="3"/>
  <c r="AA58" i="3"/>
  <c r="R58" i="3"/>
  <c r="AB58" i="3" s="1"/>
  <c r="AC58" i="3" s="1"/>
  <c r="Q58" i="3"/>
  <c r="AA57" i="3"/>
  <c r="R57" i="3"/>
  <c r="Q57" i="3"/>
  <c r="AA56" i="3"/>
  <c r="R56" i="3"/>
  <c r="AB56" i="3" s="1"/>
  <c r="AC56" i="3" s="1"/>
  <c r="Q56" i="3"/>
  <c r="AA55" i="3"/>
  <c r="AB55" i="3" s="1"/>
  <c r="AC55" i="3" s="1"/>
  <c r="R55" i="3"/>
  <c r="Q55" i="3"/>
  <c r="AA54" i="3"/>
  <c r="R54" i="3"/>
  <c r="AB54" i="3" s="1"/>
  <c r="AC54" i="3" s="1"/>
  <c r="Q54" i="3"/>
  <c r="AD54" i="3" s="1"/>
  <c r="AA53" i="3"/>
  <c r="R53" i="3"/>
  <c r="Q53" i="3"/>
  <c r="AA52" i="3"/>
  <c r="R52" i="3"/>
  <c r="AB52" i="3" s="1"/>
  <c r="AC52" i="3" s="1"/>
  <c r="Q52" i="3"/>
  <c r="AA51" i="3"/>
  <c r="AB51" i="3" s="1"/>
  <c r="AC51" i="3" s="1"/>
  <c r="R51" i="3"/>
  <c r="Q51" i="3"/>
  <c r="AA50" i="3"/>
  <c r="R50" i="3"/>
  <c r="AB50" i="3" s="1"/>
  <c r="AC50" i="3" s="1"/>
  <c r="Q50" i="3"/>
  <c r="AD50" i="3" s="1"/>
  <c r="AA49" i="3"/>
  <c r="R49" i="3"/>
  <c r="Q49" i="3"/>
  <c r="AA48" i="3"/>
  <c r="R48" i="3"/>
  <c r="AB48" i="3" s="1"/>
  <c r="AC48" i="3" s="1"/>
  <c r="Q48" i="3"/>
  <c r="AA47" i="3"/>
  <c r="AB47" i="3" s="1"/>
  <c r="AC47" i="3" s="1"/>
  <c r="R47" i="3"/>
  <c r="Q47" i="3"/>
  <c r="AA46" i="3"/>
  <c r="R46" i="3"/>
  <c r="AB46" i="3" s="1"/>
  <c r="AC46" i="3" s="1"/>
  <c r="Q46" i="3"/>
  <c r="AD46" i="3" s="1"/>
  <c r="AA45" i="3"/>
  <c r="R45" i="3"/>
  <c r="Q45" i="3"/>
  <c r="AA44" i="3"/>
  <c r="R44" i="3"/>
  <c r="AB44" i="3" s="1"/>
  <c r="AC44" i="3" s="1"/>
  <c r="Q44" i="3"/>
  <c r="AA43" i="3"/>
  <c r="AB43" i="3" s="1"/>
  <c r="AC43" i="3" s="1"/>
  <c r="R43" i="3"/>
  <c r="Q43" i="3"/>
  <c r="AA42" i="3"/>
  <c r="R42" i="3"/>
  <c r="AB42" i="3" s="1"/>
  <c r="AC42" i="3" s="1"/>
  <c r="Q42" i="3"/>
  <c r="AD42" i="3" s="1"/>
  <c r="AA41" i="3"/>
  <c r="AB41" i="3" s="1"/>
  <c r="AC41" i="3" s="1"/>
  <c r="Q41" i="3"/>
  <c r="AD41" i="3" s="1"/>
  <c r="AA40" i="3"/>
  <c r="AB40" i="3" s="1"/>
  <c r="AC40" i="3" s="1"/>
  <c r="Q40" i="3"/>
  <c r="AA39" i="3"/>
  <c r="AB39" i="3" s="1"/>
  <c r="AC39" i="3" s="1"/>
  <c r="AD39" i="3" s="1"/>
  <c r="Q39" i="3"/>
  <c r="AA38" i="3"/>
  <c r="AB38" i="3" s="1"/>
  <c r="AC38" i="3" s="1"/>
  <c r="AD38" i="3" s="1"/>
  <c r="Q38" i="3"/>
  <c r="AA37" i="3"/>
  <c r="R37" i="3"/>
  <c r="AB37" i="3" s="1"/>
  <c r="AC37" i="3" s="1"/>
  <c r="AD37" i="3" s="1"/>
  <c r="Q37" i="3"/>
  <c r="AA36" i="3"/>
  <c r="R36" i="3"/>
  <c r="Q36" i="3"/>
  <c r="AA35" i="3"/>
  <c r="AB35" i="3" s="1"/>
  <c r="AC35" i="3" s="1"/>
  <c r="AD35" i="3" s="1"/>
  <c r="R35" i="3"/>
  <c r="Q35" i="3"/>
  <c r="AA34" i="3"/>
  <c r="AB34" i="3" s="1"/>
  <c r="AC34" i="3" s="1"/>
  <c r="R34" i="3"/>
  <c r="Q34" i="3"/>
  <c r="AA33" i="3"/>
  <c r="AB33" i="3" s="1"/>
  <c r="AC33" i="3" s="1"/>
  <c r="AD33" i="3" s="1"/>
  <c r="R33" i="3"/>
  <c r="Q33" i="3"/>
  <c r="AA32" i="3"/>
  <c r="AB32" i="3" s="1"/>
  <c r="AC32" i="3" s="1"/>
  <c r="R32" i="3"/>
  <c r="Q32" i="3"/>
  <c r="AA31" i="3"/>
  <c r="AB31" i="3" s="1"/>
  <c r="AC31" i="3" s="1"/>
  <c r="AD31" i="3" s="1"/>
  <c r="R31" i="3"/>
  <c r="Q31" i="3"/>
  <c r="AA30" i="3"/>
  <c r="R30" i="3"/>
  <c r="Q30" i="3"/>
  <c r="AA29" i="3"/>
  <c r="AB29" i="3" s="1"/>
  <c r="AC29" i="3" s="1"/>
  <c r="AD29" i="3" s="1"/>
  <c r="R29" i="3"/>
  <c r="Q29" i="3"/>
  <c r="AA28" i="3"/>
  <c r="AB28" i="3" s="1"/>
  <c r="AC28" i="3" s="1"/>
  <c r="R28" i="3"/>
  <c r="Q28" i="3"/>
  <c r="AD28" i="3" s="1"/>
  <c r="AB27" i="3"/>
  <c r="AC27" i="3" s="1"/>
  <c r="AA27" i="3"/>
  <c r="R27" i="3"/>
  <c r="Q27" i="3"/>
  <c r="AA26" i="3"/>
  <c r="AB26" i="3" s="1"/>
  <c r="AC26" i="3" s="1"/>
  <c r="R26" i="3"/>
  <c r="Q26" i="3"/>
  <c r="AD26" i="3" s="1"/>
  <c r="AA25" i="3"/>
  <c r="R25" i="3"/>
  <c r="AB25" i="3" s="1"/>
  <c r="AC25" i="3" s="1"/>
  <c r="AD25" i="3" s="1"/>
  <c r="Q25" i="3"/>
  <c r="AA24" i="3"/>
  <c r="AB24" i="3" s="1"/>
  <c r="AC24" i="3" s="1"/>
  <c r="R24" i="3"/>
  <c r="Q24" i="3"/>
  <c r="AA23" i="3"/>
  <c r="AB23" i="3" s="1"/>
  <c r="AC23" i="3" s="1"/>
  <c r="AD23" i="3" s="1"/>
  <c r="R23" i="3"/>
  <c r="Q23" i="3"/>
  <c r="AA22" i="3"/>
  <c r="AB22" i="3" s="1"/>
  <c r="AC22" i="3" s="1"/>
  <c r="R22" i="3"/>
  <c r="Q22" i="3"/>
  <c r="AA21" i="3"/>
  <c r="R21" i="3"/>
  <c r="AB21" i="3" s="1"/>
  <c r="AC21" i="3" s="1"/>
  <c r="AD21" i="3" s="1"/>
  <c r="Q21" i="3"/>
  <c r="AA20" i="3"/>
  <c r="AB20" i="3" s="1"/>
  <c r="AC20" i="3" s="1"/>
  <c r="R20" i="3"/>
  <c r="Q20" i="3"/>
  <c r="AD20" i="3" s="1"/>
  <c r="AA19" i="3"/>
  <c r="R19" i="3"/>
  <c r="AB19" i="3" s="1"/>
  <c r="AC19" i="3" s="1"/>
  <c r="AD19" i="3" s="1"/>
  <c r="Q19" i="3"/>
  <c r="AA18" i="3"/>
  <c r="R18" i="3"/>
  <c r="Q18" i="3"/>
  <c r="AB17" i="3"/>
  <c r="AC17" i="3" s="1"/>
  <c r="AD17" i="3" s="1"/>
  <c r="AA17" i="3"/>
  <c r="R17" i="3"/>
  <c r="Q17" i="3"/>
  <c r="AA16" i="3"/>
  <c r="AB16" i="3" s="1"/>
  <c r="AC16" i="3" s="1"/>
  <c r="Q16" i="3"/>
  <c r="AD16" i="3" s="1"/>
  <c r="AA15" i="3"/>
  <c r="AB15" i="3" s="1"/>
  <c r="AC15" i="3" s="1"/>
  <c r="Q15" i="3"/>
  <c r="AD15" i="3" s="1"/>
  <c r="AA14" i="3"/>
  <c r="AB14" i="3" s="1"/>
  <c r="AC14" i="3" s="1"/>
  <c r="Q14" i="3"/>
  <c r="AA13" i="3"/>
  <c r="AB13" i="3" s="1"/>
  <c r="AC13" i="3" s="1"/>
  <c r="Q13" i="3"/>
  <c r="AA12" i="3"/>
  <c r="AB12" i="3" s="1"/>
  <c r="AC12" i="3" s="1"/>
  <c r="AD12" i="3" s="1"/>
  <c r="Q12" i="3"/>
  <c r="AB11" i="3"/>
  <c r="AC11" i="3" s="1"/>
  <c r="AA11" i="3"/>
  <c r="Q11" i="3"/>
  <c r="AB10" i="3"/>
  <c r="AC10" i="3" s="1"/>
  <c r="AA10" i="3"/>
  <c r="Q10" i="3"/>
  <c r="AB9" i="3"/>
  <c r="AC9" i="3" s="1"/>
  <c r="AA9" i="3"/>
  <c r="Q9" i="3"/>
  <c r="AA8" i="3"/>
  <c r="AB8" i="3" s="1"/>
  <c r="AC8" i="3" s="1"/>
  <c r="Q8" i="3"/>
  <c r="AD8" i="3" s="1"/>
  <c r="AA7" i="3"/>
  <c r="AB7" i="3" s="1"/>
  <c r="AC7" i="3" s="1"/>
  <c r="AD7" i="3" s="1"/>
  <c r="Q7" i="3"/>
  <c r="N7" i="3"/>
  <c r="AA6" i="3"/>
  <c r="AB6" i="3" s="1"/>
  <c r="AC6" i="3" s="1"/>
  <c r="Q6" i="3"/>
  <c r="AA5" i="3"/>
  <c r="AB5" i="3" s="1"/>
  <c r="AC5" i="3" s="1"/>
  <c r="Q5" i="3"/>
  <c r="AB4" i="3"/>
  <c r="AC4" i="3" s="1"/>
  <c r="AD4" i="3" s="1"/>
  <c r="AA4" i="3"/>
  <c r="Q4" i="3"/>
  <c r="AA3" i="3"/>
  <c r="AB3" i="3" s="1"/>
  <c r="AC3" i="3" s="1"/>
  <c r="AD3" i="3" s="1"/>
  <c r="Q3" i="3"/>
  <c r="AB2" i="3"/>
  <c r="AA2" i="3"/>
  <c r="Q2" i="3"/>
  <c r="Q6" i="2"/>
  <c r="N6" i="2"/>
  <c r="AA6" i="2"/>
  <c r="AB6" i="2" s="1"/>
  <c r="AA5" i="2"/>
  <c r="AB5" i="2" s="1"/>
  <c r="AC5" i="2" s="1"/>
  <c r="Q5" i="2"/>
  <c r="AA4" i="2"/>
  <c r="AB4" i="2" s="1"/>
  <c r="AC4" i="2" s="1"/>
  <c r="Q4" i="2"/>
  <c r="Q2" i="2"/>
  <c r="Q87" i="2"/>
  <c r="AA98" i="2"/>
  <c r="O101" i="2"/>
  <c r="S101" i="2"/>
  <c r="T101" i="2"/>
  <c r="U101" i="2"/>
  <c r="V101" i="2"/>
  <c r="W101" i="2"/>
  <c r="X101" i="2"/>
  <c r="Y101" i="2"/>
  <c r="Z101" i="2"/>
  <c r="M100" i="2"/>
  <c r="Q100" i="2" s="1"/>
  <c r="R100" i="2"/>
  <c r="AA100" i="2"/>
  <c r="AD45" i="3" l="1"/>
  <c r="AD77" i="3"/>
  <c r="AD95" i="3"/>
  <c r="AD102" i="3"/>
  <c r="AD82" i="3"/>
  <c r="AD85" i="3"/>
  <c r="AD5" i="3"/>
  <c r="AB36" i="3"/>
  <c r="AC36" i="3" s="1"/>
  <c r="AD36" i="3" s="1"/>
  <c r="AB45" i="3"/>
  <c r="AC45" i="3" s="1"/>
  <c r="AB49" i="3"/>
  <c r="AC49" i="3" s="1"/>
  <c r="AD49" i="3" s="1"/>
  <c r="AB53" i="3"/>
  <c r="AC53" i="3" s="1"/>
  <c r="AD53" i="3" s="1"/>
  <c r="AB57" i="3"/>
  <c r="AC57" i="3" s="1"/>
  <c r="AD57" i="3" s="1"/>
  <c r="AB61" i="3"/>
  <c r="AC61" i="3" s="1"/>
  <c r="AD61" i="3" s="1"/>
  <c r="AB65" i="3"/>
  <c r="AC65" i="3" s="1"/>
  <c r="AD65" i="3" s="1"/>
  <c r="AB69" i="3"/>
  <c r="AC69" i="3" s="1"/>
  <c r="AD69" i="3" s="1"/>
  <c r="AB73" i="3"/>
  <c r="AC73" i="3" s="1"/>
  <c r="AD73" i="3" s="1"/>
  <c r="AB77" i="3"/>
  <c r="AC77" i="3" s="1"/>
  <c r="AB95" i="3"/>
  <c r="AC95" i="3" s="1"/>
  <c r="AB102" i="3"/>
  <c r="AC102" i="3" s="1"/>
  <c r="AD10" i="3"/>
  <c r="AA103" i="3"/>
  <c r="AB30" i="3"/>
  <c r="AC30" i="3" s="1"/>
  <c r="AD30" i="3" s="1"/>
  <c r="AD34" i="3"/>
  <c r="AB89" i="3"/>
  <c r="AC89" i="3" s="1"/>
  <c r="AD89" i="3" s="1"/>
  <c r="AD93" i="3"/>
  <c r="AB99" i="3"/>
  <c r="AC99" i="3" s="1"/>
  <c r="AD99" i="3" s="1"/>
  <c r="AD11" i="3"/>
  <c r="R103" i="3"/>
  <c r="AD43" i="3"/>
  <c r="AD47" i="3"/>
  <c r="AD51" i="3"/>
  <c r="AD55" i="3"/>
  <c r="AD59" i="3"/>
  <c r="AD63" i="3"/>
  <c r="AD67" i="3"/>
  <c r="AD71" i="3"/>
  <c r="AD75" i="3"/>
  <c r="AD83" i="3"/>
  <c r="AD100" i="3"/>
  <c r="AD27" i="3"/>
  <c r="AD86" i="3"/>
  <c r="AD97" i="3"/>
  <c r="AD87" i="3"/>
  <c r="AD13" i="3"/>
  <c r="AD44" i="3"/>
  <c r="AD48" i="3"/>
  <c r="AD52" i="3"/>
  <c r="AD56" i="3"/>
  <c r="AD60" i="3"/>
  <c r="AD64" i="3"/>
  <c r="AD68" i="3"/>
  <c r="AD72" i="3"/>
  <c r="AD76" i="3"/>
  <c r="AB18" i="3"/>
  <c r="AC18" i="3" s="1"/>
  <c r="AD18" i="3" s="1"/>
  <c r="AB101" i="3"/>
  <c r="AC101" i="3" s="1"/>
  <c r="AD101" i="3" s="1"/>
  <c r="AD98" i="3"/>
  <c r="AD58" i="3"/>
  <c r="AD70" i="3"/>
  <c r="AD78" i="3"/>
  <c r="Q103" i="3"/>
  <c r="AD24" i="3"/>
  <c r="AD6" i="3"/>
  <c r="AD9" i="3"/>
  <c r="AD32" i="3"/>
  <c r="AD91" i="3"/>
  <c r="AD14" i="3"/>
  <c r="AD22" i="3"/>
  <c r="AD40" i="3"/>
  <c r="AD81" i="3"/>
  <c r="M103" i="3"/>
  <c r="AC2" i="3"/>
  <c r="AD2" i="3"/>
  <c r="AD5" i="2"/>
  <c r="AC6" i="2"/>
  <c r="AD6" i="2" s="1"/>
  <c r="AD4" i="2"/>
  <c r="AB100" i="2"/>
  <c r="AC100" i="2" s="1"/>
  <c r="AD100" i="2" s="1"/>
  <c r="AB103" i="3" l="1"/>
  <c r="AC103" i="3"/>
  <c r="AD103" i="3"/>
  <c r="AA3" i="2"/>
  <c r="AB3" i="2" s="1"/>
  <c r="AC3" i="2" s="1"/>
  <c r="AA7" i="2"/>
  <c r="AB7" i="2" s="1"/>
  <c r="AC7" i="2" s="1"/>
  <c r="AA8" i="2"/>
  <c r="AB8" i="2" s="1"/>
  <c r="AC8" i="2" s="1"/>
  <c r="AA9" i="2"/>
  <c r="AB9" i="2" s="1"/>
  <c r="AC9" i="2" s="1"/>
  <c r="AA10" i="2"/>
  <c r="AB10" i="2" s="1"/>
  <c r="AC10" i="2" s="1"/>
  <c r="AA11" i="2"/>
  <c r="AB11" i="2" s="1"/>
  <c r="AC11" i="2" s="1"/>
  <c r="AA12" i="2"/>
  <c r="AB12" i="2" s="1"/>
  <c r="AC12" i="2" s="1"/>
  <c r="AA13" i="2"/>
  <c r="AB13" i="2" s="1"/>
  <c r="AC13" i="2" s="1"/>
  <c r="AA14" i="2"/>
  <c r="AB14" i="2" s="1"/>
  <c r="AC14" i="2" s="1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B36" i="2" s="1"/>
  <c r="AC36" i="2" s="1"/>
  <c r="AA37" i="2"/>
  <c r="AB37" i="2" s="1"/>
  <c r="AC37" i="2" s="1"/>
  <c r="AA38" i="2"/>
  <c r="AB38" i="2" s="1"/>
  <c r="AC38" i="2" s="1"/>
  <c r="AA39" i="2"/>
  <c r="AB39" i="2" s="1"/>
  <c r="AC39" i="2" s="1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B76" i="2" s="1"/>
  <c r="AC76" i="2" s="1"/>
  <c r="AA77" i="2"/>
  <c r="AB77" i="2" s="1"/>
  <c r="AC77" i="2" s="1"/>
  <c r="AA78" i="2"/>
  <c r="AB78" i="2" s="1"/>
  <c r="AC78" i="2" s="1"/>
  <c r="AA79" i="2"/>
  <c r="AB79" i="2" s="1"/>
  <c r="AC79" i="2" s="1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9" i="2"/>
  <c r="AA2" i="2"/>
  <c r="Q3" i="2"/>
  <c r="Q7" i="2"/>
  <c r="Q8" i="2"/>
  <c r="Q9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2" i="2"/>
  <c r="Q83" i="2"/>
  <c r="Q84" i="2"/>
  <c r="Q85" i="2"/>
  <c r="Q86" i="2"/>
  <c r="Q88" i="2"/>
  <c r="Q89" i="2"/>
  <c r="Q90" i="2"/>
  <c r="Q91" i="2"/>
  <c r="Q92" i="2"/>
  <c r="Q93" i="2"/>
  <c r="Q94" i="2"/>
  <c r="Q97" i="2"/>
  <c r="Q98" i="2"/>
  <c r="M80" i="2"/>
  <c r="R99" i="2"/>
  <c r="R98" i="2"/>
  <c r="AB98" i="2" s="1"/>
  <c r="R97" i="2"/>
  <c r="R96" i="2"/>
  <c r="R95" i="2"/>
  <c r="R94" i="2"/>
  <c r="R93" i="2"/>
  <c r="R92" i="2"/>
  <c r="R91" i="2"/>
  <c r="R90" i="2"/>
  <c r="R89" i="2"/>
  <c r="R88" i="2"/>
  <c r="R87" i="2"/>
  <c r="M96" i="2"/>
  <c r="Q96" i="2" s="1"/>
  <c r="R86" i="2"/>
  <c r="R85" i="2"/>
  <c r="R84" i="2"/>
  <c r="R83" i="2"/>
  <c r="R82" i="2"/>
  <c r="R81" i="2"/>
  <c r="M81" i="2"/>
  <c r="Q81" i="2" s="1"/>
  <c r="R80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AB22" i="2" s="1"/>
  <c r="AC22" i="2" s="1"/>
  <c r="R21" i="2"/>
  <c r="R20" i="2"/>
  <c r="R19" i="2"/>
  <c r="R18" i="2"/>
  <c r="R17" i="2"/>
  <c r="R16" i="2"/>
  <c r="R15" i="2"/>
  <c r="AB19" i="2" l="1"/>
  <c r="AC19" i="2" s="1"/>
  <c r="AD19" i="2" s="1"/>
  <c r="AB31" i="2"/>
  <c r="AC31" i="2" s="1"/>
  <c r="AD31" i="2" s="1"/>
  <c r="AB91" i="2"/>
  <c r="AC91" i="2" s="1"/>
  <c r="AD91" i="2" s="1"/>
  <c r="AB43" i="2"/>
  <c r="AC43" i="2" s="1"/>
  <c r="AD43" i="2" s="1"/>
  <c r="AB55" i="2"/>
  <c r="AC55" i="2" s="1"/>
  <c r="AD55" i="2" s="1"/>
  <c r="AD39" i="2"/>
  <c r="AD3" i="2"/>
  <c r="AB95" i="2"/>
  <c r="AC95" i="2" s="1"/>
  <c r="AB83" i="2"/>
  <c r="AC83" i="2" s="1"/>
  <c r="AD83" i="2" s="1"/>
  <c r="AB34" i="2"/>
  <c r="AC34" i="2" s="1"/>
  <c r="AD34" i="2" s="1"/>
  <c r="AD9" i="2"/>
  <c r="AD76" i="2"/>
  <c r="AB58" i="2"/>
  <c r="AC58" i="2" s="1"/>
  <c r="AD58" i="2" s="1"/>
  <c r="AB46" i="2"/>
  <c r="AC46" i="2" s="1"/>
  <c r="AD46" i="2" s="1"/>
  <c r="AB94" i="2"/>
  <c r="AC94" i="2" s="1"/>
  <c r="AD94" i="2" s="1"/>
  <c r="AB23" i="2"/>
  <c r="AC23" i="2" s="1"/>
  <c r="AD23" i="2" s="1"/>
  <c r="AB35" i="2"/>
  <c r="AC35" i="2" s="1"/>
  <c r="AD35" i="2" s="1"/>
  <c r="AB85" i="2"/>
  <c r="AC85" i="2" s="1"/>
  <c r="AD85" i="2" s="1"/>
  <c r="AB97" i="2"/>
  <c r="AC97" i="2" s="1"/>
  <c r="AD97" i="2" s="1"/>
  <c r="AB86" i="2"/>
  <c r="AC86" i="2" s="1"/>
  <c r="AD86" i="2" s="1"/>
  <c r="Q80" i="2"/>
  <c r="AB62" i="2"/>
  <c r="AC62" i="2" s="1"/>
  <c r="AD62" i="2" s="1"/>
  <c r="AB26" i="2"/>
  <c r="AC26" i="2" s="1"/>
  <c r="AD26" i="2" s="1"/>
  <c r="AB74" i="2"/>
  <c r="AC74" i="2" s="1"/>
  <c r="AD74" i="2" s="1"/>
  <c r="AB50" i="2"/>
  <c r="AC50" i="2" s="1"/>
  <c r="AD50" i="2" s="1"/>
  <c r="R101" i="2"/>
  <c r="AB2" i="2"/>
  <c r="AC2" i="2" s="1"/>
  <c r="AD2" i="2" s="1"/>
  <c r="AA101" i="2"/>
  <c r="AC98" i="2"/>
  <c r="AB82" i="2"/>
  <c r="AC82" i="2" s="1"/>
  <c r="AD82" i="2" s="1"/>
  <c r="AB70" i="2"/>
  <c r="AC70" i="2" s="1"/>
  <c r="AD70" i="2" s="1"/>
  <c r="AD10" i="2"/>
  <c r="AB92" i="2"/>
  <c r="AC92" i="2" s="1"/>
  <c r="AD92" i="2" s="1"/>
  <c r="AB80" i="2"/>
  <c r="AC80" i="2" s="1"/>
  <c r="AB90" i="2"/>
  <c r="AC90" i="2" s="1"/>
  <c r="AD90" i="2" s="1"/>
  <c r="AB66" i="2"/>
  <c r="AC66" i="2" s="1"/>
  <c r="AD66" i="2" s="1"/>
  <c r="AB54" i="2"/>
  <c r="AC54" i="2" s="1"/>
  <c r="AD54" i="2" s="1"/>
  <c r="AB42" i="2"/>
  <c r="AC42" i="2" s="1"/>
  <c r="AD42" i="2" s="1"/>
  <c r="AB71" i="2"/>
  <c r="AC71" i="2" s="1"/>
  <c r="AD71" i="2" s="1"/>
  <c r="AB65" i="2"/>
  <c r="AC65" i="2" s="1"/>
  <c r="AD65" i="2" s="1"/>
  <c r="AB53" i="2"/>
  <c r="AC53" i="2" s="1"/>
  <c r="AD53" i="2" s="1"/>
  <c r="AB41" i="2"/>
  <c r="AC41" i="2" s="1"/>
  <c r="AD41" i="2" s="1"/>
  <c r="AB59" i="2"/>
  <c r="AC59" i="2" s="1"/>
  <c r="AD59" i="2" s="1"/>
  <c r="AB47" i="2"/>
  <c r="AC47" i="2" s="1"/>
  <c r="AD47" i="2" s="1"/>
  <c r="AD22" i="2"/>
  <c r="AD37" i="2"/>
  <c r="AD13" i="2"/>
  <c r="AD78" i="2"/>
  <c r="AB68" i="2"/>
  <c r="AC68" i="2" s="1"/>
  <c r="AD68" i="2" s="1"/>
  <c r="AB56" i="2"/>
  <c r="AC56" i="2" s="1"/>
  <c r="AD56" i="2" s="1"/>
  <c r="AB44" i="2"/>
  <c r="AC44" i="2" s="1"/>
  <c r="AD44" i="2" s="1"/>
  <c r="AB32" i="2"/>
  <c r="AC32" i="2" s="1"/>
  <c r="AD32" i="2" s="1"/>
  <c r="AB20" i="2"/>
  <c r="AC20" i="2" s="1"/>
  <c r="AD20" i="2" s="1"/>
  <c r="AD77" i="2"/>
  <c r="AB89" i="2"/>
  <c r="AC89" i="2" s="1"/>
  <c r="AD89" i="2" s="1"/>
  <c r="AB29" i="2"/>
  <c r="AC29" i="2" s="1"/>
  <c r="AD29" i="2" s="1"/>
  <c r="AB17" i="2"/>
  <c r="AC17" i="2" s="1"/>
  <c r="AD17" i="2" s="1"/>
  <c r="AD38" i="2"/>
  <c r="AD14" i="2"/>
  <c r="AB88" i="2"/>
  <c r="AC88" i="2" s="1"/>
  <c r="AD88" i="2" s="1"/>
  <c r="AB64" i="2"/>
  <c r="AC64" i="2" s="1"/>
  <c r="AD64" i="2" s="1"/>
  <c r="AB52" i="2"/>
  <c r="AC52" i="2" s="1"/>
  <c r="AD52" i="2" s="1"/>
  <c r="AB40" i="2"/>
  <c r="AC40" i="2" s="1"/>
  <c r="AD40" i="2" s="1"/>
  <c r="AB28" i="2"/>
  <c r="AC28" i="2" s="1"/>
  <c r="AD28" i="2" s="1"/>
  <c r="AB16" i="2"/>
  <c r="AC16" i="2" s="1"/>
  <c r="AD16" i="2" s="1"/>
  <c r="AB49" i="2"/>
  <c r="AC49" i="2" s="1"/>
  <c r="AD49" i="2" s="1"/>
  <c r="AB61" i="2"/>
  <c r="AC61" i="2" s="1"/>
  <c r="AD61" i="2" s="1"/>
  <c r="AB73" i="2"/>
  <c r="AC73" i="2" s="1"/>
  <c r="AD73" i="2" s="1"/>
  <c r="AB99" i="2"/>
  <c r="AC99" i="2" s="1"/>
  <c r="AB87" i="2"/>
  <c r="AC87" i="2" s="1"/>
  <c r="AD87" i="2" s="1"/>
  <c r="AB75" i="2"/>
  <c r="AC75" i="2" s="1"/>
  <c r="AD75" i="2" s="1"/>
  <c r="AB63" i="2"/>
  <c r="AC63" i="2" s="1"/>
  <c r="AD63" i="2" s="1"/>
  <c r="AB51" i="2"/>
  <c r="AC51" i="2" s="1"/>
  <c r="AD51" i="2" s="1"/>
  <c r="AB27" i="2"/>
  <c r="AC27" i="2" s="1"/>
  <c r="AD27" i="2" s="1"/>
  <c r="AB15" i="2"/>
  <c r="AC15" i="2" s="1"/>
  <c r="AD15" i="2" s="1"/>
  <c r="AB96" i="2"/>
  <c r="AC96" i="2" s="1"/>
  <c r="AD96" i="2" s="1"/>
  <c r="AB84" i="2"/>
  <c r="AC84" i="2" s="1"/>
  <c r="AD84" i="2" s="1"/>
  <c r="AB72" i="2"/>
  <c r="AC72" i="2" s="1"/>
  <c r="AD72" i="2" s="1"/>
  <c r="AB60" i="2"/>
  <c r="AC60" i="2" s="1"/>
  <c r="AD60" i="2" s="1"/>
  <c r="AB48" i="2"/>
  <c r="AC48" i="2" s="1"/>
  <c r="AD48" i="2" s="1"/>
  <c r="AD36" i="2"/>
  <c r="AB24" i="2"/>
  <c r="AC24" i="2" s="1"/>
  <c r="AD24" i="2" s="1"/>
  <c r="AD12" i="2"/>
  <c r="AB30" i="2"/>
  <c r="AC30" i="2" s="1"/>
  <c r="AD30" i="2" s="1"/>
  <c r="AB25" i="2"/>
  <c r="AC25" i="2" s="1"/>
  <c r="AD25" i="2" s="1"/>
  <c r="AB18" i="2"/>
  <c r="AC18" i="2" s="1"/>
  <c r="AD18" i="2" s="1"/>
  <c r="AB67" i="2"/>
  <c r="AC67" i="2" s="1"/>
  <c r="AD67" i="2" s="1"/>
  <c r="AB93" i="2"/>
  <c r="AC93" i="2" s="1"/>
  <c r="AD93" i="2" s="1"/>
  <c r="AB81" i="2"/>
  <c r="AC81" i="2" s="1"/>
  <c r="AD81" i="2" s="1"/>
  <c r="AB69" i="2"/>
  <c r="AC69" i="2" s="1"/>
  <c r="AD69" i="2" s="1"/>
  <c r="AB57" i="2"/>
  <c r="AC57" i="2" s="1"/>
  <c r="AD57" i="2" s="1"/>
  <c r="AB45" i="2"/>
  <c r="AC45" i="2" s="1"/>
  <c r="AD45" i="2" s="1"/>
  <c r="AB33" i="2"/>
  <c r="AC33" i="2" s="1"/>
  <c r="AD33" i="2" s="1"/>
  <c r="AB21" i="2"/>
  <c r="AC21" i="2" s="1"/>
  <c r="AD21" i="2" s="1"/>
  <c r="AD11" i="2"/>
  <c r="AD8" i="2"/>
  <c r="AD79" i="2"/>
  <c r="AD7" i="2"/>
  <c r="M99" i="2"/>
  <c r="Q99" i="2" s="1"/>
  <c r="M95" i="2"/>
  <c r="Q95" i="2" s="1"/>
  <c r="AD95" i="2" l="1"/>
  <c r="AD80" i="2"/>
  <c r="Q101" i="2"/>
  <c r="AC101" i="2"/>
  <c r="M101" i="2"/>
  <c r="AD99" i="2"/>
  <c r="AB101" i="2"/>
  <c r="AD98" i="2"/>
  <c r="AD10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MARIA.P ALMONTE</author>
  </authors>
  <commentList>
    <comment ref="R36" authorId="0" shapeId="0" xr:uid="{81A81EAC-6D69-42AD-9329-A052935E01F2}">
      <text>
        <r>
          <rPr>
            <b/>
            <sz val="9"/>
            <color indexed="81"/>
            <rFont val="Tahoma"/>
            <family val="2"/>
          </rPr>
          <t xml:space="preserve">MARIA.P ALMONTE:Pendiente pago 20%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MARIA.P ALMONTE</author>
  </authors>
  <commentList>
    <comment ref="R38" authorId="0" shapeId="0" xr:uid="{0691605C-ECE9-4AE6-94BC-165F3B34ACD7}">
      <text>
        <r>
          <rPr>
            <b/>
            <sz val="9"/>
            <color indexed="81"/>
            <rFont val="Tahoma"/>
            <family val="2"/>
          </rPr>
          <t xml:space="preserve">MARIA.P ALMONTE:Pendiente pago 20%
</t>
        </r>
      </text>
    </comment>
  </commentList>
</comments>
</file>

<file path=xl/sharedStrings.xml><?xml version="1.0" encoding="utf-8"?>
<sst xmlns="http://schemas.openxmlformats.org/spreadsheetml/2006/main" count="1648" uniqueCount="172">
  <si>
    <t>Proceso de Compras</t>
  </si>
  <si>
    <t>Proveedor</t>
  </si>
  <si>
    <t>SNIP</t>
  </si>
  <si>
    <t>Obra</t>
  </si>
  <si>
    <t>Municipio</t>
  </si>
  <si>
    <t>Sector</t>
  </si>
  <si>
    <t>Población (Hab)</t>
  </si>
  <si>
    <t>Monto Presupuesto RD$</t>
  </si>
  <si>
    <t xml:space="preserve">Monto Adjudicado </t>
  </si>
  <si>
    <t xml:space="preserve">Diponibilidad presupuestado versus adjudicado </t>
  </si>
  <si>
    <t xml:space="preserve">1era Cubicación </t>
  </si>
  <si>
    <t xml:space="preserve">2da Cubicación </t>
  </si>
  <si>
    <t xml:space="preserve">3ra Cubicación </t>
  </si>
  <si>
    <t xml:space="preserve">4ta Cubicación </t>
  </si>
  <si>
    <t xml:space="preserve">5ta Cubicación </t>
  </si>
  <si>
    <t xml:space="preserve">6ta Cubicación </t>
  </si>
  <si>
    <t xml:space="preserve">7ma Cubicación </t>
  </si>
  <si>
    <t xml:space="preserve">8va Cubicación </t>
  </si>
  <si>
    <t>Total Cubicado</t>
  </si>
  <si>
    <t>Total pagado</t>
  </si>
  <si>
    <t>Diponibilidad adjudicado</t>
  </si>
  <si>
    <t>Disponibilidad Proyecto</t>
  </si>
  <si>
    <t>CORAAMOCA-CCC-CP-2025-0005</t>
  </si>
  <si>
    <t>A</t>
  </si>
  <si>
    <t>Ampliación de Redes</t>
  </si>
  <si>
    <t>Cayetano Germosen</t>
  </si>
  <si>
    <t>La Gallera - Guanábano</t>
  </si>
  <si>
    <t>Villa Progreso</t>
  </si>
  <si>
    <t>Sabana De Los Jiménez</t>
  </si>
  <si>
    <t xml:space="preserve">Calle Del Rio </t>
  </si>
  <si>
    <t>La Penda</t>
  </si>
  <si>
    <t>Barrio nuevo La Guama</t>
  </si>
  <si>
    <t>Cruce de La Guama</t>
  </si>
  <si>
    <t>Urbanización La Guama  (entrada del Play)</t>
  </si>
  <si>
    <t>Entrada la Iglesia - Hato Viejo</t>
  </si>
  <si>
    <t>Barrio Marien - Guanábano</t>
  </si>
  <si>
    <t>CORAAMOCA-CCC-CP-2025-0006</t>
  </si>
  <si>
    <t>INGENIERIA Y PERFORACIONES (INPER), S.R.L</t>
  </si>
  <si>
    <t xml:space="preserve">Construcción de un pozo tubular </t>
  </si>
  <si>
    <t>Construcción de un pozo tubular</t>
  </si>
  <si>
    <t>Calle Del Rio</t>
  </si>
  <si>
    <t>Maguey</t>
  </si>
  <si>
    <t>B</t>
  </si>
  <si>
    <t>San Victor</t>
  </si>
  <si>
    <t>Ceiba de Madera (El Mango de Nena 1)</t>
  </si>
  <si>
    <t>Ceiba de Madera (El Mango de Nena 2)</t>
  </si>
  <si>
    <t>La Amapola - Entrada María Arroyo</t>
  </si>
  <si>
    <t>Entrada Arte de Jesús</t>
  </si>
  <si>
    <t>San Víctor - Entrada del  Club del los  Choferes</t>
  </si>
  <si>
    <t>Entrada los  Chivos - San Víctor</t>
  </si>
  <si>
    <t>Los Rieles Arriba</t>
  </si>
  <si>
    <t>B/La Lambada</t>
  </si>
  <si>
    <t>Centro Tecnológico San Víctor</t>
  </si>
  <si>
    <t>C</t>
  </si>
  <si>
    <t>Moca</t>
  </si>
  <si>
    <t>Los Cocos Llenas</t>
  </si>
  <si>
    <t>Los Hernández - La Rosario</t>
  </si>
  <si>
    <t>Quebrada Honda - Lotificación Pilo Santana</t>
  </si>
  <si>
    <t xml:space="preserve">Quebrada Honda- Entrada de La Chicha </t>
  </si>
  <si>
    <t>Quebrada Honda -Entrada de la escuelita, C/Mora</t>
  </si>
  <si>
    <t>Villa Delia</t>
  </si>
  <si>
    <t>Entrada  Sixto García - La Soledad</t>
  </si>
  <si>
    <t>Cacique  Abajo- La Antena</t>
  </si>
  <si>
    <t>La Ermita B/Eduardo Brito</t>
  </si>
  <si>
    <t>El Corozo - Entrada Raulito</t>
  </si>
  <si>
    <t>El Jazmín - Cruce del Algarrobo</t>
  </si>
  <si>
    <t>Quebrada La Yagua - El Algarrobo</t>
  </si>
  <si>
    <t>Entrada de la Iglesia y los Cacos, B/Pulu- La Rosario</t>
  </si>
  <si>
    <t>Estancia Nueva - Los Reinoso</t>
  </si>
  <si>
    <t>El Fundo San Francisco abajo</t>
  </si>
  <si>
    <t>Quebrada Honda - Entrada de Willy</t>
  </si>
  <si>
    <t>La Ermita - Entrada Surtidora Santana</t>
  </si>
  <si>
    <t>Boca Férrea</t>
  </si>
  <si>
    <t>La Finca</t>
  </si>
  <si>
    <t>La Lomita</t>
  </si>
  <si>
    <t>Boca Férrea - Entrada La Escuela</t>
  </si>
  <si>
    <t>Cruce La Lomita del Higüero (La Finca)</t>
  </si>
  <si>
    <t>La Finca - Entrada de la Escuela</t>
  </si>
  <si>
    <t>E</t>
  </si>
  <si>
    <t>Canca La Reina</t>
  </si>
  <si>
    <t>El aguacate - Canca La Reina</t>
  </si>
  <si>
    <t>C/Josefa Rosario</t>
  </si>
  <si>
    <t>La Chicharra</t>
  </si>
  <si>
    <t>F</t>
  </si>
  <si>
    <t>Juan Lopez</t>
  </si>
  <si>
    <t>Juan López - Entrada Los Julines</t>
  </si>
  <si>
    <t>Juan López - Entrada Centro Tecnológico</t>
  </si>
  <si>
    <t xml:space="preserve">Juan López - Entrada  Los Pérez </t>
  </si>
  <si>
    <t>Los Camacho</t>
  </si>
  <si>
    <t>G</t>
  </si>
  <si>
    <t>Monte La Jagua</t>
  </si>
  <si>
    <t xml:space="preserve">Entrada Don Juan Monte de La Jagua </t>
  </si>
  <si>
    <t>H</t>
  </si>
  <si>
    <t>Higuerito</t>
  </si>
  <si>
    <t>El Higuerito Arriba</t>
  </si>
  <si>
    <t>I</t>
  </si>
  <si>
    <t>Jamao Al Norte</t>
  </si>
  <si>
    <t>Los Brazos</t>
  </si>
  <si>
    <t>CORAAMOCA-CCC-CP-2025-0002</t>
  </si>
  <si>
    <t>Veragua</t>
  </si>
  <si>
    <t xml:space="preserve">Los Cocos </t>
  </si>
  <si>
    <t>Caño Dulce</t>
  </si>
  <si>
    <t>Entrada La Escuela</t>
  </si>
  <si>
    <t>Callejón de Sara</t>
  </si>
  <si>
    <t>La Españolita</t>
  </si>
  <si>
    <t>La Mina</t>
  </si>
  <si>
    <t>Campo de Pozos Veragua</t>
  </si>
  <si>
    <t>Gaspar Hernandez</t>
  </si>
  <si>
    <t xml:space="preserve">Entrada de Gen </t>
  </si>
  <si>
    <t>Villa Olímpica</t>
  </si>
  <si>
    <t>Villa Valentina</t>
  </si>
  <si>
    <t>Entrada el Correo</t>
  </si>
  <si>
    <t>Las Colinas La Antena</t>
  </si>
  <si>
    <t>Loma Al Medio (Entrada La Cigua)</t>
  </si>
  <si>
    <t xml:space="preserve"> Entrada La Batata</t>
  </si>
  <si>
    <t xml:space="preserve">Pozo Las Colinas (La Antena) </t>
  </si>
  <si>
    <t>BENESTAR CONSTRUCTORA, S.R.L</t>
  </si>
  <si>
    <t>Villa Magante</t>
  </si>
  <si>
    <t>Entrada Malen</t>
  </si>
  <si>
    <t>Rincón de Genaro</t>
  </si>
  <si>
    <t>Pozo Tanque Entrada Los Mangos</t>
  </si>
  <si>
    <t>Vereda Al Medio</t>
  </si>
  <si>
    <t>CONSTRUCTORA CAMILO PANTALEON (CCP), S.R.L</t>
  </si>
  <si>
    <t>CORAAMOCA-DAF-CM-2026-0024</t>
  </si>
  <si>
    <t>CORAAMOCA-CCC-LPN-2026-0002</t>
  </si>
  <si>
    <t>EN PROCESO DE CARGA EN COMPRAS</t>
  </si>
  <si>
    <t>Sin Adjudicar</t>
  </si>
  <si>
    <t>Reconstrucción de Centro de Servicio y Construcción de Parqueos en Guauci</t>
  </si>
  <si>
    <t>Guauci</t>
  </si>
  <si>
    <t>Adquisición de Terrenos para la Construcción de 19 Pozos Tubulares</t>
  </si>
  <si>
    <t>Municipio de Cayetano Germosén, Municipio de San Víctor, Municipio de Moca y Municipio de Jamao al Norte</t>
  </si>
  <si>
    <t>Sin Sectores</t>
  </si>
  <si>
    <t>Estatus de Obra</t>
  </si>
  <si>
    <t>CORAAMOCA-DAF-CM-2026-0023</t>
  </si>
  <si>
    <t>Los Polanco</t>
  </si>
  <si>
    <t>Entrada Los Guaos</t>
  </si>
  <si>
    <t>Entrada La Yuca</t>
  </si>
  <si>
    <t>San Lorenzo</t>
  </si>
  <si>
    <t>Item</t>
  </si>
  <si>
    <t>No. Item</t>
  </si>
  <si>
    <t>Entrada Playa Rogelio</t>
  </si>
  <si>
    <t>Entrada La Gallera</t>
  </si>
  <si>
    <t>Construcción de un pozo tubular #1</t>
  </si>
  <si>
    <t>Construcción de un pozo tubular #2</t>
  </si>
  <si>
    <t>Campo de Pozos</t>
  </si>
  <si>
    <t>CORAAMOCA-CCC-CP-2024-0001</t>
  </si>
  <si>
    <t>Suministro e Instalación de Micro Medidores de Agua Potable en Residenciales e Industrias para Clientes del Municipio de Moca</t>
  </si>
  <si>
    <t>CORAAMOCA-CCC-CP-2024-0003</t>
  </si>
  <si>
    <t>CONSTRUCTORA CRUZ MUÑOZ</t>
  </si>
  <si>
    <t>Construcción de Centro de Servicio al Cliente</t>
  </si>
  <si>
    <t>60% Ejecutado</t>
  </si>
  <si>
    <t>85% Ejecutado</t>
  </si>
  <si>
    <t>20% Ejecutado</t>
  </si>
  <si>
    <t>30% Ejecutado</t>
  </si>
  <si>
    <t>Publicado</t>
  </si>
  <si>
    <t>Sin Publicar</t>
  </si>
  <si>
    <t>Adquisición de Vehículos Pesados  - 1 Retroexcavadora, 1 Minibus</t>
  </si>
  <si>
    <t>Sin Item</t>
  </si>
  <si>
    <t>Tipo de Proceso</t>
  </si>
  <si>
    <t>Sin Proveedor</t>
  </si>
  <si>
    <t>Adjudicado</t>
  </si>
  <si>
    <t>Monto Sin Adjudicar</t>
  </si>
  <si>
    <t>Año de realizacion de Proceso</t>
  </si>
  <si>
    <t xml:space="preserve">Canta La Rana </t>
  </si>
  <si>
    <t>Monto Publica (SECP)</t>
  </si>
  <si>
    <t>CONSTRUCTORA GEODRIL S.R.L</t>
  </si>
  <si>
    <t>Adquisición de Vehículos Pesados  - 2 Camiones 4x4, 1 Volteo</t>
  </si>
  <si>
    <t>CORAAMOCA-CCC-LPN-2026-0001</t>
  </si>
  <si>
    <t>Contratacion de Personal Tecnico para la unidad de Control de Perdidas - Comercial</t>
  </si>
  <si>
    <t>Distrito</t>
  </si>
  <si>
    <t>Publicidad y Subenil</t>
  </si>
  <si>
    <t>Herramientas, equipos informativos e inmobiliarios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</si>
</sst>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43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4" fillId="0" borderId="1" xfId="1" applyFont="1" applyFill="1" applyBorder="1" applyAlignment="1">
      <alignment horizontal="center" vertical="center"/>
    </xf>
    <xf numFmtId="43" fontId="3" fillId="0" borderId="1" xfId="1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 vertical="top" wrapText="1"/>
    </xf>
    <xf numFmtId="4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/>
    <xf numFmtId="43" fontId="3" fillId="0" borderId="1" xfId="1" applyFont="1" applyBorder="1"/>
    <xf numFmtId="43" fontId="3" fillId="0" borderId="1" xfId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9" fontId="3" fillId="0" borderId="1" xfId="0" applyNumberFormat="1" applyFont="1" applyBorder="1"/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1" applyNumberFormat="1" applyFont="1" applyFill="1" applyBorder="1"/>
    <xf numFmtId="43" fontId="3" fillId="3" borderId="1" xfId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1" applyNumberFormat="1" applyFont="1" applyFill="1" applyBorder="1"/>
    <xf numFmtId="43" fontId="3" fillId="4" borderId="1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ernandezy/Desktop/Codigo%20SNIP/2.%20POZOS%20G.H%20Y%20CENTRoS%20SERV.%2023-8-24/Distrito%20Munipal%20de%20Veragua/Presupuesto%20Ampliacion%20de%20Redes%20D.M%20Veragua/Los%20Cocos%20&#216;%203-%20Presupuesto%20Ampliacion%20Redes.xlsx" TargetMode="External"/><Relationship Id="rId1" Type="http://schemas.openxmlformats.org/officeDocument/2006/relationships/externalLinkPath" Target="/Users/hernandezy/Desktop/Codigo%20SNIP/2.%20POZOS%20G.H%20Y%20CENTRoS%20SERV.%2023-8-24/Distrito%20Munipal%20de%20Veragua/Presupuesto%20Ampliacion%20de%20Redes%20D.M%20Veragua/Los%20Cocos%20&#216;%203-%20Presupuesto%20Ampliacion%20Red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ernandezy/Desktop/Codigo%20SNIP/2.%20POZOS%20G.H%20Y%20CENTRoS%20SERV.%2023-8-24/Distrito%20Munipal%20de%20Veragua/Presupuesto%20Ampliacion%20de%20Redes%20D.M%20Veragua/Ca&#241;o%20Dulce%20&#216;%202-%20Presupuesto%20Ampliacion%20Redes.xlsx" TargetMode="External"/><Relationship Id="rId1" Type="http://schemas.openxmlformats.org/officeDocument/2006/relationships/externalLinkPath" Target="/Users/hernandezy/Desktop/Codigo%20SNIP/2.%20POZOS%20G.H%20Y%20CENTRoS%20SERV.%2023-8-24/Distrito%20Munipal%20de%20Veragua/Presupuesto%20Ampliacion%20de%20Redes%20D.M%20Veragua/Ca&#241;o%20Dulce%20&#216;%202-%20Presupuesto%20Ampliacion%20Re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cha Tecnica"/>
      <sheetName val="EQUIPOS Y MOV TIERRAS (2)"/>
      <sheetName val="EQUIPOS Y MOV TIERRAS"/>
      <sheetName val="ANALISIS DE COSTOS (2)"/>
      <sheetName val="valvulas "/>
      <sheetName val="tuberias "/>
      <sheetName val="Ampliacion de Redes"/>
      <sheetName val="PRESUPUEST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2">
          <cell r="G42">
            <v>2810700.0185658624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OS Y MOV TIERRAS (2)"/>
      <sheetName val="EQUIPOS Y MOV TIERRAS"/>
      <sheetName val="ANALISIS DE COSTOS (2)"/>
      <sheetName val="valvulas "/>
      <sheetName val="tuberias "/>
      <sheetName val="Ampliacion de Redes"/>
      <sheetName val="PRESUPUEST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4">
          <cell r="G44">
            <v>572688.8888798363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37E4-1F91-4A47-AD28-286628697739}">
  <dimension ref="A1:AF101"/>
  <sheetViews>
    <sheetView workbookViewId="0">
      <pane ySplit="1" topLeftCell="A2" activePane="bottomLeft" state="frozen"/>
      <selection activeCell="G1" sqref="G1"/>
      <selection pane="bottomLeft" activeCell="A5" sqref="A5"/>
    </sheetView>
  </sheetViews>
  <sheetFormatPr baseColWidth="10" defaultRowHeight="14.4" x14ac:dyDescent="0.3"/>
  <cols>
    <col min="1" max="1" width="40.6640625" bestFit="1" customWidth="1"/>
    <col min="2" max="2" width="14.21875" customWidth="1"/>
    <col min="3" max="3" width="16.109375" bestFit="1" customWidth="1"/>
    <col min="4" max="4" width="53.88671875" bestFit="1" customWidth="1"/>
    <col min="5" max="5" width="6.5546875" bestFit="1" customWidth="1"/>
    <col min="6" max="6" width="8.21875" bestFit="1" customWidth="1"/>
    <col min="7" max="7" width="9.109375" bestFit="1" customWidth="1"/>
    <col min="8" max="8" width="117.6640625" bestFit="1" customWidth="1"/>
    <col min="9" max="9" width="101.77734375" bestFit="1" customWidth="1"/>
    <col min="10" max="10" width="10.33203125" bestFit="1" customWidth="1"/>
    <col min="11" max="11" width="22.33203125" bestFit="1" customWidth="1"/>
    <col min="12" max="12" width="11.44140625" bestFit="1" customWidth="1"/>
    <col min="13" max="13" width="15.44140625" bestFit="1" customWidth="1"/>
    <col min="14" max="14" width="15.44140625" customWidth="1"/>
    <col min="15" max="15" width="15.33203125" bestFit="1" customWidth="1"/>
    <col min="16" max="16" width="15.33203125" customWidth="1"/>
    <col min="17" max="17" width="16.21875" bestFit="1" customWidth="1"/>
    <col min="18" max="18" width="15.33203125" bestFit="1" customWidth="1"/>
    <col min="19" max="19" width="14.21875" bestFit="1" customWidth="1"/>
    <col min="20" max="20" width="15.33203125" bestFit="1" customWidth="1"/>
    <col min="21" max="21" width="14.21875" bestFit="1" customWidth="1"/>
    <col min="22" max="26" width="11.33203125" bestFit="1" customWidth="1"/>
    <col min="27" max="28" width="15.33203125" bestFit="1" customWidth="1"/>
    <col min="29" max="29" width="14.33203125" bestFit="1" customWidth="1"/>
    <col min="30" max="30" width="15.44140625" bestFit="1" customWidth="1"/>
    <col min="31" max="31" width="14.44140625" bestFit="1" customWidth="1"/>
    <col min="32" max="32" width="48.44140625" bestFit="1" customWidth="1"/>
  </cols>
  <sheetData>
    <row r="1" spans="1:32" ht="62.4" x14ac:dyDescent="0.3">
      <c r="A1" s="16" t="s">
        <v>0</v>
      </c>
      <c r="B1" s="18" t="s">
        <v>162</v>
      </c>
      <c r="C1" s="16" t="s">
        <v>158</v>
      </c>
      <c r="D1" s="16" t="s">
        <v>1</v>
      </c>
      <c r="E1" s="16" t="s">
        <v>2</v>
      </c>
      <c r="F1" s="16" t="s">
        <v>138</v>
      </c>
      <c r="G1" s="16" t="s">
        <v>139</v>
      </c>
      <c r="H1" s="17" t="s">
        <v>3</v>
      </c>
      <c r="I1" s="17" t="s">
        <v>4</v>
      </c>
      <c r="J1" s="17" t="s">
        <v>169</v>
      </c>
      <c r="K1" s="17" t="s">
        <v>5</v>
      </c>
      <c r="L1" s="18" t="s">
        <v>6</v>
      </c>
      <c r="M1" s="18" t="s">
        <v>7</v>
      </c>
      <c r="N1" s="18" t="s">
        <v>164</v>
      </c>
      <c r="O1" s="18" t="s">
        <v>8</v>
      </c>
      <c r="P1" s="18" t="s">
        <v>161</v>
      </c>
      <c r="Q1" s="18" t="s">
        <v>9</v>
      </c>
      <c r="R1" s="19">
        <v>0.2</v>
      </c>
      <c r="S1" s="18" t="s">
        <v>10</v>
      </c>
      <c r="T1" s="18" t="s">
        <v>11</v>
      </c>
      <c r="U1" s="18" t="s">
        <v>12</v>
      </c>
      <c r="V1" s="18" t="s">
        <v>13</v>
      </c>
      <c r="W1" s="18" t="s">
        <v>14</v>
      </c>
      <c r="X1" s="18" t="s">
        <v>15</v>
      </c>
      <c r="Y1" s="18" t="s">
        <v>16</v>
      </c>
      <c r="Z1" s="18" t="s">
        <v>17</v>
      </c>
      <c r="AA1" s="16" t="s">
        <v>18</v>
      </c>
      <c r="AB1" s="18" t="s">
        <v>19</v>
      </c>
      <c r="AC1" s="18" t="s">
        <v>20</v>
      </c>
      <c r="AD1" s="18" t="s">
        <v>21</v>
      </c>
      <c r="AE1" s="18" t="s">
        <v>132</v>
      </c>
    </row>
    <row r="2" spans="1:32" ht="15.6" x14ac:dyDescent="0.3">
      <c r="A2" s="12" t="s">
        <v>123</v>
      </c>
      <c r="B2" s="12">
        <v>2024</v>
      </c>
      <c r="C2" s="12" t="s">
        <v>126</v>
      </c>
      <c r="D2" s="12" t="s">
        <v>159</v>
      </c>
      <c r="E2" s="12">
        <v>16844</v>
      </c>
      <c r="F2" s="13" t="s">
        <v>157</v>
      </c>
      <c r="G2" s="13">
        <v>1</v>
      </c>
      <c r="H2" s="12" t="s">
        <v>127</v>
      </c>
      <c r="I2" s="12" t="s">
        <v>54</v>
      </c>
      <c r="J2" s="12"/>
      <c r="K2" s="12" t="s">
        <v>128</v>
      </c>
      <c r="L2" s="20">
        <v>685</v>
      </c>
      <c r="M2" s="21">
        <v>9722987.5173045583</v>
      </c>
      <c r="N2" s="21"/>
      <c r="O2" s="21">
        <v>0</v>
      </c>
      <c r="P2" s="21">
        <v>9722987.5173045602</v>
      </c>
      <c r="Q2" s="21">
        <f>M2-O2</f>
        <v>9722987.5173045583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f>SUM(S2:Z2)</f>
        <v>0</v>
      </c>
      <c r="AB2" s="21">
        <f>AA2+R2</f>
        <v>0</v>
      </c>
      <c r="AC2" s="21">
        <f>O2-AB2</f>
        <v>0</v>
      </c>
      <c r="AD2" s="21">
        <f>Q2+AC2</f>
        <v>9722987.5173045583</v>
      </c>
      <c r="AE2" s="12" t="s">
        <v>154</v>
      </c>
    </row>
    <row r="3" spans="1:32" ht="15.6" x14ac:dyDescent="0.3">
      <c r="A3" s="12" t="s">
        <v>124</v>
      </c>
      <c r="B3" s="12">
        <v>2026</v>
      </c>
      <c r="C3" s="12" t="s">
        <v>126</v>
      </c>
      <c r="D3" s="12" t="s">
        <v>159</v>
      </c>
      <c r="E3" s="12">
        <v>16844</v>
      </c>
      <c r="F3" s="13" t="s">
        <v>157</v>
      </c>
      <c r="G3" s="13">
        <v>1</v>
      </c>
      <c r="H3" s="12" t="s">
        <v>156</v>
      </c>
      <c r="I3" s="12" t="s">
        <v>54</v>
      </c>
      <c r="J3" s="12"/>
      <c r="K3" s="12" t="s">
        <v>54</v>
      </c>
      <c r="L3" s="20">
        <v>0</v>
      </c>
      <c r="M3" s="21">
        <v>15679840</v>
      </c>
      <c r="N3" s="21"/>
      <c r="O3" s="21">
        <v>0</v>
      </c>
      <c r="P3" s="21">
        <v>15679840</v>
      </c>
      <c r="Q3" s="21">
        <f t="shared" ref="Q3:Q66" si="0">M3-O3</f>
        <v>15679840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f t="shared" ref="AA3:AA66" si="1">SUM(S3:Z3)</f>
        <v>0</v>
      </c>
      <c r="AB3" s="21">
        <f t="shared" ref="AB3:AB66" si="2">AA3+R3</f>
        <v>0</v>
      </c>
      <c r="AC3" s="21">
        <f t="shared" ref="AC3:AC66" si="3">O3-AB3</f>
        <v>0</v>
      </c>
      <c r="AD3" s="21">
        <f t="shared" ref="AD3:AD66" si="4">Q3+AC3</f>
        <v>15679840</v>
      </c>
      <c r="AE3" s="12" t="s">
        <v>154</v>
      </c>
    </row>
    <row r="4" spans="1:32" ht="15.6" x14ac:dyDescent="0.3">
      <c r="A4" s="32" t="s">
        <v>125</v>
      </c>
      <c r="B4" s="32">
        <v>2026</v>
      </c>
      <c r="C4" s="32" t="s">
        <v>126</v>
      </c>
      <c r="D4" s="32" t="s">
        <v>159</v>
      </c>
      <c r="E4" s="32">
        <v>16340</v>
      </c>
      <c r="F4" s="33" t="s">
        <v>157</v>
      </c>
      <c r="G4" s="33">
        <v>1</v>
      </c>
      <c r="H4" s="32" t="s">
        <v>168</v>
      </c>
      <c r="I4" s="32"/>
      <c r="J4" s="32"/>
      <c r="K4" s="32"/>
      <c r="L4" s="34">
        <v>0</v>
      </c>
      <c r="M4" s="35">
        <v>2200000</v>
      </c>
      <c r="N4" s="35"/>
      <c r="O4" s="35"/>
      <c r="P4" s="35"/>
      <c r="Q4" s="35">
        <f t="shared" ref="Q4:Q5" si="5">M4-O4</f>
        <v>2200000</v>
      </c>
      <c r="R4" s="35"/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f t="shared" ref="AA4:AA6" si="6">SUM(S4:Z4)</f>
        <v>0</v>
      </c>
      <c r="AB4" s="35">
        <f t="shared" ref="AB4:AB6" si="7">AA4+R4</f>
        <v>0</v>
      </c>
      <c r="AC4" s="35">
        <f t="shared" ref="AC4:AC6" si="8">O4-AB4</f>
        <v>0</v>
      </c>
      <c r="AD4" s="35">
        <f t="shared" ref="AD4:AD6" si="9">Q4+AC4</f>
        <v>2200000</v>
      </c>
      <c r="AE4" s="32" t="s">
        <v>155</v>
      </c>
    </row>
    <row r="5" spans="1:32" ht="15.6" x14ac:dyDescent="0.3">
      <c r="A5" s="32" t="s">
        <v>125</v>
      </c>
      <c r="B5" s="32">
        <v>2027</v>
      </c>
      <c r="C5" s="32" t="s">
        <v>126</v>
      </c>
      <c r="D5" s="32" t="s">
        <v>159</v>
      </c>
      <c r="E5" s="32">
        <v>16340</v>
      </c>
      <c r="F5" s="33" t="s">
        <v>157</v>
      </c>
      <c r="G5" s="33">
        <v>1</v>
      </c>
      <c r="H5" s="32" t="s">
        <v>170</v>
      </c>
      <c r="I5" s="32"/>
      <c r="J5" s="32"/>
      <c r="K5" s="32"/>
      <c r="L5" s="34">
        <v>0</v>
      </c>
      <c r="M5" s="35">
        <v>1800000</v>
      </c>
      <c r="N5" s="35"/>
      <c r="O5" s="35"/>
      <c r="P5" s="35"/>
      <c r="Q5" s="35">
        <f t="shared" si="5"/>
        <v>1800000</v>
      </c>
      <c r="R5" s="35"/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f t="shared" si="6"/>
        <v>0</v>
      </c>
      <c r="AB5" s="35">
        <f t="shared" si="7"/>
        <v>0</v>
      </c>
      <c r="AC5" s="35">
        <f t="shared" si="8"/>
        <v>0</v>
      </c>
      <c r="AD5" s="35">
        <f t="shared" si="9"/>
        <v>1800000</v>
      </c>
      <c r="AE5" s="32" t="s">
        <v>155</v>
      </c>
    </row>
    <row r="6" spans="1:32" ht="15.6" x14ac:dyDescent="0.3">
      <c r="A6" s="32" t="s">
        <v>125</v>
      </c>
      <c r="B6" s="32">
        <v>2028</v>
      </c>
      <c r="C6" s="32" t="s">
        <v>126</v>
      </c>
      <c r="D6" s="32" t="s">
        <v>159</v>
      </c>
      <c r="E6" s="32">
        <v>16341</v>
      </c>
      <c r="F6" s="33" t="s">
        <v>157</v>
      </c>
      <c r="G6" s="33">
        <v>2</v>
      </c>
      <c r="H6" s="32" t="s">
        <v>171</v>
      </c>
      <c r="I6" s="32"/>
      <c r="J6" s="32"/>
      <c r="K6" s="32"/>
      <c r="L6" s="34">
        <v>0</v>
      </c>
      <c r="M6" s="35">
        <v>4500000</v>
      </c>
      <c r="N6" s="35">
        <f>344000+1500000+1439794</f>
        <v>3283794</v>
      </c>
      <c r="O6" s="35">
        <v>0</v>
      </c>
      <c r="P6" s="35"/>
      <c r="Q6" s="35">
        <f>M6-O6</f>
        <v>4500000</v>
      </c>
      <c r="R6" s="35"/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f t="shared" si="6"/>
        <v>0</v>
      </c>
      <c r="AB6" s="35">
        <f t="shared" si="7"/>
        <v>0</v>
      </c>
      <c r="AC6" s="35">
        <f t="shared" si="8"/>
        <v>0</v>
      </c>
      <c r="AD6" s="35">
        <f t="shared" si="9"/>
        <v>4500000</v>
      </c>
      <c r="AE6" s="32" t="s">
        <v>154</v>
      </c>
    </row>
    <row r="7" spans="1:32" ht="15.6" x14ac:dyDescent="0.3">
      <c r="A7" s="12" t="s">
        <v>133</v>
      </c>
      <c r="B7" s="12">
        <v>2026</v>
      </c>
      <c r="C7" s="12" t="s">
        <v>160</v>
      </c>
      <c r="D7" s="12" t="s">
        <v>37</v>
      </c>
      <c r="E7" s="12">
        <v>16879</v>
      </c>
      <c r="F7" s="13" t="s">
        <v>23</v>
      </c>
      <c r="G7" s="13">
        <v>1</v>
      </c>
      <c r="H7" s="12" t="s">
        <v>24</v>
      </c>
      <c r="I7" s="12" t="s">
        <v>99</v>
      </c>
      <c r="J7" s="12"/>
      <c r="K7" s="12" t="s">
        <v>134</v>
      </c>
      <c r="L7" s="20">
        <v>315</v>
      </c>
      <c r="M7" s="21">
        <v>1322168.2679789499</v>
      </c>
      <c r="N7" s="21"/>
      <c r="O7" s="21">
        <v>0</v>
      </c>
      <c r="P7" s="21">
        <v>1322168.2679789499</v>
      </c>
      <c r="Q7" s="21">
        <f t="shared" si="0"/>
        <v>1322168.2679789499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f t="shared" si="1"/>
        <v>0</v>
      </c>
      <c r="AB7" s="21">
        <f t="shared" si="2"/>
        <v>0</v>
      </c>
      <c r="AC7" s="21">
        <f t="shared" si="3"/>
        <v>0</v>
      </c>
      <c r="AD7" s="21">
        <f t="shared" si="4"/>
        <v>1322168.2679789499</v>
      </c>
      <c r="AE7" s="12" t="s">
        <v>154</v>
      </c>
      <c r="AF7" s="15"/>
    </row>
    <row r="8" spans="1:32" ht="15.6" x14ac:dyDescent="0.3">
      <c r="A8" s="12" t="s">
        <v>133</v>
      </c>
      <c r="B8" s="12">
        <v>2026</v>
      </c>
      <c r="C8" s="12" t="s">
        <v>160</v>
      </c>
      <c r="D8" s="12" t="s">
        <v>37</v>
      </c>
      <c r="E8" s="12">
        <v>16879</v>
      </c>
      <c r="F8" s="13" t="s">
        <v>23</v>
      </c>
      <c r="G8" s="13">
        <v>2</v>
      </c>
      <c r="H8" s="12" t="s">
        <v>24</v>
      </c>
      <c r="I8" s="12" t="s">
        <v>99</v>
      </c>
      <c r="J8" s="12"/>
      <c r="K8" s="12" t="s">
        <v>135</v>
      </c>
      <c r="L8" s="20">
        <v>200</v>
      </c>
      <c r="M8" s="21">
        <v>1369499.0316022099</v>
      </c>
      <c r="N8" s="21"/>
      <c r="O8" s="21">
        <v>0</v>
      </c>
      <c r="P8" s="21">
        <v>1369499.0316022099</v>
      </c>
      <c r="Q8" s="21">
        <f t="shared" si="0"/>
        <v>1369499.0316022099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f t="shared" si="1"/>
        <v>0</v>
      </c>
      <c r="AB8" s="21">
        <f t="shared" si="2"/>
        <v>0</v>
      </c>
      <c r="AC8" s="21">
        <f t="shared" si="3"/>
        <v>0</v>
      </c>
      <c r="AD8" s="21">
        <f t="shared" si="4"/>
        <v>1369499.0316022099</v>
      </c>
      <c r="AE8" s="12" t="s">
        <v>154</v>
      </c>
    </row>
    <row r="9" spans="1:32" ht="15.6" x14ac:dyDescent="0.3">
      <c r="A9" s="12" t="s">
        <v>133</v>
      </c>
      <c r="B9" s="12">
        <v>2026</v>
      </c>
      <c r="C9" s="12" t="s">
        <v>160</v>
      </c>
      <c r="D9" s="12" t="s">
        <v>37</v>
      </c>
      <c r="E9" s="12">
        <v>16879</v>
      </c>
      <c r="F9" s="13" t="s">
        <v>23</v>
      </c>
      <c r="G9" s="13">
        <v>3</v>
      </c>
      <c r="H9" s="12" t="s">
        <v>24</v>
      </c>
      <c r="I9" s="12" t="s">
        <v>99</v>
      </c>
      <c r="J9" s="12"/>
      <c r="K9" s="12" t="s">
        <v>136</v>
      </c>
      <c r="L9" s="20">
        <v>225</v>
      </c>
      <c r="M9" s="21">
        <v>1283296.94</v>
      </c>
      <c r="N9" s="21"/>
      <c r="O9" s="21">
        <v>0</v>
      </c>
      <c r="P9" s="21">
        <v>1283296.94</v>
      </c>
      <c r="Q9" s="21">
        <f t="shared" si="0"/>
        <v>1283296.94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f t="shared" si="1"/>
        <v>0</v>
      </c>
      <c r="AB9" s="21">
        <f t="shared" si="2"/>
        <v>0</v>
      </c>
      <c r="AC9" s="21">
        <f t="shared" si="3"/>
        <v>0</v>
      </c>
      <c r="AD9" s="21">
        <f t="shared" si="4"/>
        <v>1283296.94</v>
      </c>
      <c r="AE9" s="12" t="s">
        <v>154</v>
      </c>
    </row>
    <row r="10" spans="1:32" ht="15.6" x14ac:dyDescent="0.3">
      <c r="A10" s="12" t="s">
        <v>133</v>
      </c>
      <c r="B10" s="12">
        <v>2026</v>
      </c>
      <c r="C10" s="12" t="s">
        <v>160</v>
      </c>
      <c r="D10" s="12" t="s">
        <v>37</v>
      </c>
      <c r="E10" s="12">
        <v>16879</v>
      </c>
      <c r="F10" s="13" t="s">
        <v>23</v>
      </c>
      <c r="G10" s="13">
        <v>4</v>
      </c>
      <c r="H10" s="12" t="s">
        <v>24</v>
      </c>
      <c r="I10" s="12" t="s">
        <v>99</v>
      </c>
      <c r="J10" s="12"/>
      <c r="K10" s="12" t="s">
        <v>137</v>
      </c>
      <c r="L10" s="20">
        <v>800</v>
      </c>
      <c r="M10" s="21">
        <v>3364579.1399999997</v>
      </c>
      <c r="N10" s="21"/>
      <c r="O10" s="21">
        <v>0</v>
      </c>
      <c r="P10" s="21">
        <v>3364579.1399999997</v>
      </c>
      <c r="Q10" s="21">
        <f>M10-O10</f>
        <v>3364579.1399999997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f t="shared" si="1"/>
        <v>0</v>
      </c>
      <c r="AB10" s="21">
        <f t="shared" si="2"/>
        <v>0</v>
      </c>
      <c r="AC10" s="21">
        <f t="shared" si="3"/>
        <v>0</v>
      </c>
      <c r="AD10" s="21">
        <f t="shared" si="4"/>
        <v>3364579.1399999997</v>
      </c>
      <c r="AE10" s="12" t="s">
        <v>154</v>
      </c>
    </row>
    <row r="11" spans="1:32" ht="15.6" x14ac:dyDescent="0.3">
      <c r="A11" s="12" t="s">
        <v>133</v>
      </c>
      <c r="B11" s="12">
        <v>2026</v>
      </c>
      <c r="C11" s="12" t="s">
        <v>160</v>
      </c>
      <c r="D11" s="12" t="s">
        <v>37</v>
      </c>
      <c r="E11" s="12">
        <v>16879</v>
      </c>
      <c r="F11" s="13" t="s">
        <v>53</v>
      </c>
      <c r="G11" s="13">
        <v>1</v>
      </c>
      <c r="H11" s="12" t="s">
        <v>24</v>
      </c>
      <c r="I11" s="12" t="s">
        <v>117</v>
      </c>
      <c r="J11" s="12"/>
      <c r="K11" s="12" t="s">
        <v>141</v>
      </c>
      <c r="L11" s="20">
        <v>200</v>
      </c>
      <c r="M11" s="21">
        <v>1900495.7</v>
      </c>
      <c r="N11" s="21"/>
      <c r="O11" s="21">
        <v>0</v>
      </c>
      <c r="P11" s="21">
        <v>1900495.7</v>
      </c>
      <c r="Q11" s="21">
        <f t="shared" si="0"/>
        <v>1900495.7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f t="shared" si="1"/>
        <v>0</v>
      </c>
      <c r="AB11" s="21">
        <f t="shared" si="2"/>
        <v>0</v>
      </c>
      <c r="AC11" s="21">
        <f t="shared" si="3"/>
        <v>0</v>
      </c>
      <c r="AD11" s="21">
        <f t="shared" si="4"/>
        <v>1900495.7</v>
      </c>
      <c r="AE11" s="12" t="s">
        <v>154</v>
      </c>
    </row>
    <row r="12" spans="1:32" ht="15.6" x14ac:dyDescent="0.3">
      <c r="A12" s="12" t="s">
        <v>133</v>
      </c>
      <c r="B12" s="12">
        <v>2026</v>
      </c>
      <c r="C12" s="12" t="s">
        <v>160</v>
      </c>
      <c r="D12" s="12" t="s">
        <v>37</v>
      </c>
      <c r="E12" s="12">
        <v>16879</v>
      </c>
      <c r="F12" s="13" t="s">
        <v>53</v>
      </c>
      <c r="G12" s="13">
        <v>2</v>
      </c>
      <c r="H12" s="12" t="s">
        <v>24</v>
      </c>
      <c r="I12" s="12" t="s">
        <v>117</v>
      </c>
      <c r="J12" s="12"/>
      <c r="K12" s="12" t="s">
        <v>140</v>
      </c>
      <c r="L12" s="20">
        <v>400</v>
      </c>
      <c r="M12" s="21">
        <v>3038240.0599999996</v>
      </c>
      <c r="N12" s="21"/>
      <c r="O12" s="21">
        <v>0</v>
      </c>
      <c r="P12" s="21">
        <v>3038240.0599999996</v>
      </c>
      <c r="Q12" s="21">
        <f t="shared" si="0"/>
        <v>3038240.0599999996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f t="shared" si="1"/>
        <v>0</v>
      </c>
      <c r="AB12" s="21">
        <f t="shared" si="2"/>
        <v>0</v>
      </c>
      <c r="AC12" s="21">
        <f t="shared" si="3"/>
        <v>0</v>
      </c>
      <c r="AD12" s="21">
        <f t="shared" si="4"/>
        <v>3038240.0599999996</v>
      </c>
      <c r="AE12" s="12" t="s">
        <v>154</v>
      </c>
    </row>
    <row r="13" spans="1:32" ht="15.6" x14ac:dyDescent="0.3">
      <c r="A13" s="12" t="s">
        <v>133</v>
      </c>
      <c r="B13" s="12">
        <v>2026</v>
      </c>
      <c r="C13" s="12" t="s">
        <v>160</v>
      </c>
      <c r="D13" s="12" t="s">
        <v>165</v>
      </c>
      <c r="E13" s="12">
        <v>16879</v>
      </c>
      <c r="F13" s="13" t="s">
        <v>42</v>
      </c>
      <c r="G13" s="13">
        <v>1</v>
      </c>
      <c r="H13" s="12" t="s">
        <v>142</v>
      </c>
      <c r="I13" s="12" t="s">
        <v>107</v>
      </c>
      <c r="J13" s="12"/>
      <c r="K13" s="12" t="s">
        <v>144</v>
      </c>
      <c r="L13" s="20">
        <v>1000</v>
      </c>
      <c r="M13" s="21">
        <v>4561600.7837957228</v>
      </c>
      <c r="N13" s="21"/>
      <c r="O13" s="21">
        <v>0</v>
      </c>
      <c r="P13" s="21">
        <v>4561600.7837957228</v>
      </c>
      <c r="Q13" s="21">
        <f t="shared" si="0"/>
        <v>4561600.7837957228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f t="shared" si="1"/>
        <v>0</v>
      </c>
      <c r="AB13" s="21">
        <f t="shared" si="2"/>
        <v>0</v>
      </c>
      <c r="AC13" s="21">
        <f t="shared" si="3"/>
        <v>0</v>
      </c>
      <c r="AD13" s="21">
        <f t="shared" si="4"/>
        <v>4561600.7837957228</v>
      </c>
      <c r="AE13" s="12" t="s">
        <v>154</v>
      </c>
    </row>
    <row r="14" spans="1:32" ht="15.6" x14ac:dyDescent="0.3">
      <c r="A14" s="12" t="s">
        <v>133</v>
      </c>
      <c r="B14" s="12">
        <v>2026</v>
      </c>
      <c r="C14" s="12" t="s">
        <v>160</v>
      </c>
      <c r="D14" s="12" t="s">
        <v>165</v>
      </c>
      <c r="E14" s="12">
        <v>16879</v>
      </c>
      <c r="F14" s="13" t="s">
        <v>42</v>
      </c>
      <c r="G14" s="13">
        <v>2</v>
      </c>
      <c r="H14" s="12" t="s">
        <v>143</v>
      </c>
      <c r="I14" s="12" t="s">
        <v>107</v>
      </c>
      <c r="J14" s="12"/>
      <c r="K14" s="12" t="s">
        <v>144</v>
      </c>
      <c r="L14" s="20">
        <v>1000</v>
      </c>
      <c r="M14" s="21">
        <v>4561600.7837957228</v>
      </c>
      <c r="N14" s="21"/>
      <c r="O14" s="21">
        <v>0</v>
      </c>
      <c r="P14" s="21">
        <v>4561600.7837957228</v>
      </c>
      <c r="Q14" s="21">
        <f t="shared" si="0"/>
        <v>4561600.7837957228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f t="shared" si="1"/>
        <v>0</v>
      </c>
      <c r="AB14" s="21">
        <f t="shared" si="2"/>
        <v>0</v>
      </c>
      <c r="AC14" s="21">
        <f t="shared" si="3"/>
        <v>0</v>
      </c>
      <c r="AD14" s="21">
        <f t="shared" si="4"/>
        <v>4561600.7837957228</v>
      </c>
      <c r="AE14" s="12" t="s">
        <v>154</v>
      </c>
    </row>
    <row r="15" spans="1:32" ht="15.6" x14ac:dyDescent="0.3">
      <c r="A15" s="12" t="s">
        <v>22</v>
      </c>
      <c r="B15" s="12">
        <v>2025</v>
      </c>
      <c r="C15" s="12" t="s">
        <v>160</v>
      </c>
      <c r="D15" s="12" t="s">
        <v>122</v>
      </c>
      <c r="E15" s="13">
        <v>16340</v>
      </c>
      <c r="F15" s="13" t="s">
        <v>23</v>
      </c>
      <c r="G15" s="1">
        <v>1</v>
      </c>
      <c r="H15" s="2" t="s">
        <v>24</v>
      </c>
      <c r="I15" s="2" t="s">
        <v>25</v>
      </c>
      <c r="J15" s="2"/>
      <c r="K15" s="2" t="s">
        <v>26</v>
      </c>
      <c r="L15" s="25">
        <v>2010</v>
      </c>
      <c r="M15" s="3">
        <v>225612.52740823478</v>
      </c>
      <c r="N15" s="3"/>
      <c r="O15" s="11">
        <v>231263.29</v>
      </c>
      <c r="P15" s="11"/>
      <c r="Q15" s="21">
        <f t="shared" si="0"/>
        <v>-5650.7625917652331</v>
      </c>
      <c r="R15" s="3">
        <f t="shared" ref="R15:R35" si="10">O15*20%</f>
        <v>46252.658000000003</v>
      </c>
      <c r="S15" s="22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1">
        <f t="shared" si="1"/>
        <v>0</v>
      </c>
      <c r="AB15" s="21">
        <f t="shared" si="2"/>
        <v>46252.658000000003</v>
      </c>
      <c r="AC15" s="21">
        <f t="shared" si="3"/>
        <v>185010.63200000001</v>
      </c>
      <c r="AD15" s="21">
        <f t="shared" si="4"/>
        <v>179359.86940823478</v>
      </c>
      <c r="AE15" s="12" t="s">
        <v>154</v>
      </c>
    </row>
    <row r="16" spans="1:32" ht="15.6" x14ac:dyDescent="0.3">
      <c r="A16" s="12" t="s">
        <v>22</v>
      </c>
      <c r="B16" s="12">
        <v>2025</v>
      </c>
      <c r="C16" s="12" t="s">
        <v>160</v>
      </c>
      <c r="D16" s="12" t="s">
        <v>122</v>
      </c>
      <c r="E16" s="13">
        <v>16340</v>
      </c>
      <c r="F16" s="13" t="s">
        <v>23</v>
      </c>
      <c r="G16" s="1">
        <v>2</v>
      </c>
      <c r="H16" s="2" t="s">
        <v>24</v>
      </c>
      <c r="I16" s="2" t="s">
        <v>25</v>
      </c>
      <c r="J16" s="2"/>
      <c r="K16" s="2" t="s">
        <v>27</v>
      </c>
      <c r="L16" s="25">
        <v>570</v>
      </c>
      <c r="M16" s="3">
        <v>4074815.4680292024</v>
      </c>
      <c r="N16" s="3"/>
      <c r="O16" s="11">
        <v>4023612.21</v>
      </c>
      <c r="P16" s="11"/>
      <c r="Q16" s="21">
        <f t="shared" si="0"/>
        <v>51203.258029202465</v>
      </c>
      <c r="R16" s="3">
        <f t="shared" si="10"/>
        <v>804722.44200000004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1">
        <f t="shared" si="1"/>
        <v>0</v>
      </c>
      <c r="AB16" s="21">
        <f t="shared" si="2"/>
        <v>804722.44200000004</v>
      </c>
      <c r="AC16" s="21">
        <f t="shared" si="3"/>
        <v>3218889.7680000002</v>
      </c>
      <c r="AD16" s="21">
        <f t="shared" si="4"/>
        <v>3270093.0260292026</v>
      </c>
      <c r="AE16" s="12" t="s">
        <v>154</v>
      </c>
    </row>
    <row r="17" spans="1:31" ht="15.6" x14ac:dyDescent="0.3">
      <c r="A17" s="12" t="s">
        <v>22</v>
      </c>
      <c r="B17" s="12">
        <v>2025</v>
      </c>
      <c r="C17" s="12" t="s">
        <v>160</v>
      </c>
      <c r="D17" s="12" t="s">
        <v>122</v>
      </c>
      <c r="E17" s="13">
        <v>16340</v>
      </c>
      <c r="F17" s="13" t="s">
        <v>23</v>
      </c>
      <c r="G17" s="1">
        <v>3</v>
      </c>
      <c r="H17" s="2" t="s">
        <v>24</v>
      </c>
      <c r="I17" s="2" t="s">
        <v>25</v>
      </c>
      <c r="J17" s="2"/>
      <c r="K17" s="4" t="s">
        <v>28</v>
      </c>
      <c r="L17" s="25">
        <v>36</v>
      </c>
      <c r="M17" s="3">
        <v>511793.93667326478</v>
      </c>
      <c r="N17" s="3"/>
      <c r="O17" s="11">
        <v>523486.66</v>
      </c>
      <c r="P17" s="11"/>
      <c r="Q17" s="21">
        <f t="shared" si="0"/>
        <v>-11692.723326735198</v>
      </c>
      <c r="R17" s="3">
        <f t="shared" si="10"/>
        <v>104697.33199999999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1">
        <f t="shared" si="1"/>
        <v>0</v>
      </c>
      <c r="AB17" s="21">
        <f t="shared" si="2"/>
        <v>104697.33199999999</v>
      </c>
      <c r="AC17" s="21">
        <f t="shared" si="3"/>
        <v>418789.32799999998</v>
      </c>
      <c r="AD17" s="21">
        <f t="shared" si="4"/>
        <v>407096.60467326478</v>
      </c>
      <c r="AE17" s="12" t="s">
        <v>154</v>
      </c>
    </row>
    <row r="18" spans="1:31" ht="15.6" x14ac:dyDescent="0.3">
      <c r="A18" s="12" t="s">
        <v>22</v>
      </c>
      <c r="B18" s="12">
        <v>2025</v>
      </c>
      <c r="C18" s="12" t="s">
        <v>160</v>
      </c>
      <c r="D18" s="12" t="s">
        <v>122</v>
      </c>
      <c r="E18" s="13">
        <v>16340</v>
      </c>
      <c r="F18" s="13" t="s">
        <v>23</v>
      </c>
      <c r="G18" s="1">
        <v>4</v>
      </c>
      <c r="H18" s="2" t="s">
        <v>24</v>
      </c>
      <c r="I18" s="2" t="s">
        <v>25</v>
      </c>
      <c r="J18" s="2"/>
      <c r="K18" s="2" t="s">
        <v>29</v>
      </c>
      <c r="L18" s="25">
        <v>141</v>
      </c>
      <c r="M18" s="3">
        <v>2438230.125270857</v>
      </c>
      <c r="N18" s="3"/>
      <c r="O18" s="11">
        <v>2292599.09</v>
      </c>
      <c r="P18" s="11"/>
      <c r="Q18" s="21">
        <f t="shared" si="0"/>
        <v>145631.03527085716</v>
      </c>
      <c r="R18" s="3">
        <f t="shared" si="10"/>
        <v>458519.81799999997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1">
        <f t="shared" si="1"/>
        <v>0</v>
      </c>
      <c r="AB18" s="21">
        <f t="shared" si="2"/>
        <v>458519.81799999997</v>
      </c>
      <c r="AC18" s="21">
        <f t="shared" si="3"/>
        <v>1834079.2719999999</v>
      </c>
      <c r="AD18" s="21">
        <f t="shared" si="4"/>
        <v>1979710.307270857</v>
      </c>
      <c r="AE18" s="12" t="s">
        <v>154</v>
      </c>
    </row>
    <row r="19" spans="1:31" ht="15.6" x14ac:dyDescent="0.3">
      <c r="A19" s="12" t="s">
        <v>22</v>
      </c>
      <c r="B19" s="12">
        <v>2025</v>
      </c>
      <c r="C19" s="12" t="s">
        <v>160</v>
      </c>
      <c r="D19" s="12" t="s">
        <v>122</v>
      </c>
      <c r="E19" s="13">
        <v>16340</v>
      </c>
      <c r="F19" s="13" t="s">
        <v>23</v>
      </c>
      <c r="G19" s="1">
        <v>5</v>
      </c>
      <c r="H19" s="2" t="s">
        <v>24</v>
      </c>
      <c r="I19" s="2" t="s">
        <v>25</v>
      </c>
      <c r="J19" s="2"/>
      <c r="K19" s="2" t="s">
        <v>30</v>
      </c>
      <c r="L19" s="25">
        <v>30</v>
      </c>
      <c r="M19" s="3">
        <v>388955.64060050389</v>
      </c>
      <c r="N19" s="3"/>
      <c r="O19" s="11">
        <v>404519.67</v>
      </c>
      <c r="P19" s="11"/>
      <c r="Q19" s="21">
        <f t="shared" si="0"/>
        <v>-15564.029399496096</v>
      </c>
      <c r="R19" s="3">
        <f t="shared" si="10"/>
        <v>80903.934000000008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1">
        <f t="shared" si="1"/>
        <v>0</v>
      </c>
      <c r="AB19" s="21">
        <f t="shared" si="2"/>
        <v>80903.934000000008</v>
      </c>
      <c r="AC19" s="21">
        <f t="shared" si="3"/>
        <v>323615.73599999998</v>
      </c>
      <c r="AD19" s="21">
        <f t="shared" si="4"/>
        <v>308051.70660050388</v>
      </c>
      <c r="AE19" s="12" t="s">
        <v>154</v>
      </c>
    </row>
    <row r="20" spans="1:31" ht="15.6" x14ac:dyDescent="0.3">
      <c r="A20" s="12" t="s">
        <v>22</v>
      </c>
      <c r="B20" s="12">
        <v>2025</v>
      </c>
      <c r="C20" s="12" t="s">
        <v>160</v>
      </c>
      <c r="D20" s="12" t="s">
        <v>122</v>
      </c>
      <c r="E20" s="13">
        <v>16340</v>
      </c>
      <c r="F20" s="13" t="s">
        <v>23</v>
      </c>
      <c r="G20" s="1">
        <v>6</v>
      </c>
      <c r="H20" s="2" t="s">
        <v>24</v>
      </c>
      <c r="I20" s="2" t="s">
        <v>25</v>
      </c>
      <c r="J20" s="2"/>
      <c r="K20" s="2" t="s">
        <v>31</v>
      </c>
      <c r="L20" s="25">
        <v>30</v>
      </c>
      <c r="M20" s="3">
        <v>342061.56774935964</v>
      </c>
      <c r="N20" s="3"/>
      <c r="O20" s="11">
        <v>360198.56</v>
      </c>
      <c r="P20" s="11"/>
      <c r="Q20" s="21">
        <f t="shared" si="0"/>
        <v>-18136.992250640353</v>
      </c>
      <c r="R20" s="3">
        <f t="shared" si="10"/>
        <v>72039.712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1">
        <f t="shared" si="1"/>
        <v>0</v>
      </c>
      <c r="AB20" s="21">
        <f t="shared" si="2"/>
        <v>72039.712</v>
      </c>
      <c r="AC20" s="21">
        <f t="shared" si="3"/>
        <v>288158.848</v>
      </c>
      <c r="AD20" s="21">
        <f t="shared" si="4"/>
        <v>270021.85574935965</v>
      </c>
      <c r="AE20" s="12" t="s">
        <v>154</v>
      </c>
    </row>
    <row r="21" spans="1:31" ht="15.6" x14ac:dyDescent="0.3">
      <c r="A21" s="12" t="s">
        <v>22</v>
      </c>
      <c r="B21" s="12">
        <v>2025</v>
      </c>
      <c r="C21" s="12" t="s">
        <v>160</v>
      </c>
      <c r="D21" s="12" t="s">
        <v>122</v>
      </c>
      <c r="E21" s="13">
        <v>16340</v>
      </c>
      <c r="F21" s="13" t="s">
        <v>23</v>
      </c>
      <c r="G21" s="1">
        <v>7</v>
      </c>
      <c r="H21" s="2" t="s">
        <v>24</v>
      </c>
      <c r="I21" s="2" t="s">
        <v>25</v>
      </c>
      <c r="J21" s="2"/>
      <c r="K21" s="2" t="s">
        <v>32</v>
      </c>
      <c r="L21" s="25">
        <v>45</v>
      </c>
      <c r="M21" s="3">
        <v>443175.57263818232</v>
      </c>
      <c r="N21" s="3"/>
      <c r="O21" s="11">
        <v>453564.99</v>
      </c>
      <c r="P21" s="11"/>
      <c r="Q21" s="21">
        <f t="shared" si="0"/>
        <v>-10389.417361817672</v>
      </c>
      <c r="R21" s="3">
        <f t="shared" si="10"/>
        <v>90712.998000000007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1">
        <f t="shared" si="1"/>
        <v>0</v>
      </c>
      <c r="AB21" s="21">
        <f t="shared" si="2"/>
        <v>90712.998000000007</v>
      </c>
      <c r="AC21" s="21">
        <f t="shared" si="3"/>
        <v>362851.99199999997</v>
      </c>
      <c r="AD21" s="21">
        <f t="shared" si="4"/>
        <v>352462.5746381823</v>
      </c>
      <c r="AE21" s="12" t="s">
        <v>154</v>
      </c>
    </row>
    <row r="22" spans="1:31" ht="31.2" x14ac:dyDescent="0.3">
      <c r="A22" s="12" t="s">
        <v>22</v>
      </c>
      <c r="B22" s="12">
        <v>2025</v>
      </c>
      <c r="C22" s="12" t="s">
        <v>160</v>
      </c>
      <c r="D22" s="12" t="s">
        <v>122</v>
      </c>
      <c r="E22" s="13">
        <v>16340</v>
      </c>
      <c r="F22" s="13" t="s">
        <v>23</v>
      </c>
      <c r="G22" s="1">
        <v>8</v>
      </c>
      <c r="H22" s="2" t="s">
        <v>24</v>
      </c>
      <c r="I22" s="2" t="s">
        <v>25</v>
      </c>
      <c r="J22" s="2"/>
      <c r="K22" s="4" t="s">
        <v>33</v>
      </c>
      <c r="L22" s="25">
        <v>60</v>
      </c>
      <c r="M22" s="3">
        <v>699425.0025822859</v>
      </c>
      <c r="N22" s="3"/>
      <c r="O22" s="11">
        <v>717370.34</v>
      </c>
      <c r="P22" s="11"/>
      <c r="Q22" s="21">
        <f t="shared" si="0"/>
        <v>-17945.337417714065</v>
      </c>
      <c r="R22" s="3">
        <f t="shared" si="10"/>
        <v>143474.068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1">
        <f t="shared" si="1"/>
        <v>0</v>
      </c>
      <c r="AB22" s="21">
        <f t="shared" si="2"/>
        <v>143474.068</v>
      </c>
      <c r="AC22" s="21">
        <f t="shared" si="3"/>
        <v>573896.272</v>
      </c>
      <c r="AD22" s="21">
        <f t="shared" si="4"/>
        <v>555950.93458228593</v>
      </c>
      <c r="AE22" s="12" t="s">
        <v>154</v>
      </c>
    </row>
    <row r="23" spans="1:31" ht="31.2" x14ac:dyDescent="0.3">
      <c r="A23" s="12" t="s">
        <v>22</v>
      </c>
      <c r="B23" s="12">
        <v>2025</v>
      </c>
      <c r="C23" s="12" t="s">
        <v>160</v>
      </c>
      <c r="D23" s="12" t="s">
        <v>122</v>
      </c>
      <c r="E23" s="13">
        <v>16340</v>
      </c>
      <c r="F23" s="13" t="s">
        <v>23</v>
      </c>
      <c r="G23" s="1">
        <v>9</v>
      </c>
      <c r="H23" s="2" t="s">
        <v>24</v>
      </c>
      <c r="I23" s="2" t="s">
        <v>25</v>
      </c>
      <c r="J23" s="2"/>
      <c r="K23" s="4" t="s">
        <v>34</v>
      </c>
      <c r="L23" s="25">
        <v>45</v>
      </c>
      <c r="M23" s="3">
        <v>167892.06160215902</v>
      </c>
      <c r="N23" s="3"/>
      <c r="O23" s="11">
        <v>180968.24</v>
      </c>
      <c r="P23" s="11"/>
      <c r="Q23" s="21">
        <f t="shared" si="0"/>
        <v>-13076.178397840966</v>
      </c>
      <c r="R23" s="3">
        <f t="shared" si="10"/>
        <v>36193.648000000001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1">
        <f t="shared" si="1"/>
        <v>0</v>
      </c>
      <c r="AB23" s="21">
        <f t="shared" si="2"/>
        <v>36193.648000000001</v>
      </c>
      <c r="AC23" s="21">
        <f t="shared" si="3"/>
        <v>144774.592</v>
      </c>
      <c r="AD23" s="21">
        <f t="shared" si="4"/>
        <v>131698.41360215904</v>
      </c>
      <c r="AE23" s="12" t="s">
        <v>154</v>
      </c>
    </row>
    <row r="24" spans="1:31" ht="31.2" x14ac:dyDescent="0.3">
      <c r="A24" s="12" t="s">
        <v>22</v>
      </c>
      <c r="B24" s="12">
        <v>2025</v>
      </c>
      <c r="C24" s="12" t="s">
        <v>160</v>
      </c>
      <c r="D24" s="12" t="s">
        <v>122</v>
      </c>
      <c r="E24" s="13">
        <v>16340</v>
      </c>
      <c r="F24" s="13" t="s">
        <v>23</v>
      </c>
      <c r="G24" s="1">
        <v>10</v>
      </c>
      <c r="H24" s="2" t="s">
        <v>24</v>
      </c>
      <c r="I24" s="2" t="s">
        <v>25</v>
      </c>
      <c r="J24" s="2"/>
      <c r="K24" s="4" t="s">
        <v>35</v>
      </c>
      <c r="L24" s="25">
        <v>147</v>
      </c>
      <c r="M24" s="3">
        <v>2478584.5621000337</v>
      </c>
      <c r="N24" s="3"/>
      <c r="O24" s="11">
        <v>2414870.65</v>
      </c>
      <c r="P24" s="11"/>
      <c r="Q24" s="21">
        <f t="shared" si="0"/>
        <v>63713.912100033835</v>
      </c>
      <c r="R24" s="3">
        <f t="shared" si="10"/>
        <v>482974.13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1">
        <f t="shared" si="1"/>
        <v>0</v>
      </c>
      <c r="AB24" s="21">
        <f t="shared" si="2"/>
        <v>482974.13</v>
      </c>
      <c r="AC24" s="21">
        <f t="shared" si="3"/>
        <v>1931896.52</v>
      </c>
      <c r="AD24" s="21">
        <f t="shared" si="4"/>
        <v>1995610.4321000339</v>
      </c>
      <c r="AE24" s="12" t="s">
        <v>154</v>
      </c>
    </row>
    <row r="25" spans="1:31" ht="15.6" x14ac:dyDescent="0.3">
      <c r="A25" s="12" t="s">
        <v>36</v>
      </c>
      <c r="B25" s="12">
        <v>2025</v>
      </c>
      <c r="C25" s="12" t="s">
        <v>160</v>
      </c>
      <c r="D25" s="12" t="s">
        <v>37</v>
      </c>
      <c r="E25" s="1">
        <v>16879</v>
      </c>
      <c r="F25" s="13" t="s">
        <v>23</v>
      </c>
      <c r="G25" s="1">
        <v>1</v>
      </c>
      <c r="H25" s="4" t="s">
        <v>38</v>
      </c>
      <c r="I25" s="2" t="s">
        <v>25</v>
      </c>
      <c r="J25" s="2"/>
      <c r="K25" s="4" t="s">
        <v>28</v>
      </c>
      <c r="L25" s="25">
        <v>36</v>
      </c>
      <c r="M25" s="3">
        <v>3419652.1987980008</v>
      </c>
      <c r="N25" s="3"/>
      <c r="O25" s="11">
        <v>3077688.25</v>
      </c>
      <c r="P25" s="11"/>
      <c r="Q25" s="21">
        <f t="shared" si="0"/>
        <v>341963.94879800081</v>
      </c>
      <c r="R25" s="3">
        <f t="shared" si="10"/>
        <v>615537.65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1">
        <f t="shared" si="1"/>
        <v>0</v>
      </c>
      <c r="AB25" s="21">
        <f t="shared" si="2"/>
        <v>615537.65</v>
      </c>
      <c r="AC25" s="21">
        <f t="shared" si="3"/>
        <v>2462150.6</v>
      </c>
      <c r="AD25" s="21">
        <f t="shared" si="4"/>
        <v>2804114.5487980009</v>
      </c>
      <c r="AE25" s="12" t="s">
        <v>154</v>
      </c>
    </row>
    <row r="26" spans="1:31" ht="15.6" x14ac:dyDescent="0.3">
      <c r="A26" s="12" t="s">
        <v>36</v>
      </c>
      <c r="B26" s="12">
        <v>2025</v>
      </c>
      <c r="C26" s="12" t="s">
        <v>160</v>
      </c>
      <c r="D26" s="12" t="s">
        <v>37</v>
      </c>
      <c r="E26" s="1">
        <v>16879</v>
      </c>
      <c r="F26" s="13" t="s">
        <v>23</v>
      </c>
      <c r="G26" s="1">
        <v>2</v>
      </c>
      <c r="H26" s="4" t="s">
        <v>39</v>
      </c>
      <c r="I26" s="2" t="s">
        <v>25</v>
      </c>
      <c r="J26" s="2"/>
      <c r="K26" s="2" t="s">
        <v>40</v>
      </c>
      <c r="L26" s="25">
        <v>390</v>
      </c>
      <c r="M26" s="3">
        <v>2977703.4487980008</v>
      </c>
      <c r="N26" s="3"/>
      <c r="O26" s="11">
        <v>2800162.26</v>
      </c>
      <c r="P26" s="11"/>
      <c r="Q26" s="21">
        <f t="shared" si="0"/>
        <v>177541.18879800104</v>
      </c>
      <c r="R26" s="3">
        <f t="shared" si="10"/>
        <v>560032.45199999993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21">
        <f t="shared" si="1"/>
        <v>0</v>
      </c>
      <c r="AB26" s="21">
        <f t="shared" si="2"/>
        <v>560032.45199999993</v>
      </c>
      <c r="AC26" s="21">
        <f t="shared" si="3"/>
        <v>2240129.8079999997</v>
      </c>
      <c r="AD26" s="21">
        <f t="shared" si="4"/>
        <v>2417670.9967980008</v>
      </c>
      <c r="AE26" s="12" t="s">
        <v>154</v>
      </c>
    </row>
    <row r="27" spans="1:31" ht="15.6" x14ac:dyDescent="0.3">
      <c r="A27" s="12" t="s">
        <v>36</v>
      </c>
      <c r="B27" s="12">
        <v>2025</v>
      </c>
      <c r="C27" s="12" t="s">
        <v>160</v>
      </c>
      <c r="D27" s="12" t="s">
        <v>37</v>
      </c>
      <c r="E27" s="1">
        <v>16879</v>
      </c>
      <c r="F27" s="13" t="s">
        <v>23</v>
      </c>
      <c r="G27" s="1">
        <v>3</v>
      </c>
      <c r="H27" s="4" t="s">
        <v>39</v>
      </c>
      <c r="I27" s="2" t="s">
        <v>25</v>
      </c>
      <c r="J27" s="2"/>
      <c r="K27" s="2" t="s">
        <v>30</v>
      </c>
      <c r="L27" s="25">
        <v>600</v>
      </c>
      <c r="M27" s="3">
        <v>2977703.4487980008</v>
      </c>
      <c r="N27" s="3"/>
      <c r="O27" s="11">
        <v>2800162.26</v>
      </c>
      <c r="P27" s="11"/>
      <c r="Q27" s="21">
        <f t="shared" si="0"/>
        <v>177541.18879800104</v>
      </c>
      <c r="R27" s="3">
        <f t="shared" si="10"/>
        <v>560032.45199999993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21">
        <f t="shared" si="1"/>
        <v>0</v>
      </c>
      <c r="AB27" s="21">
        <f t="shared" si="2"/>
        <v>560032.45199999993</v>
      </c>
      <c r="AC27" s="21">
        <f t="shared" si="3"/>
        <v>2240129.8079999997</v>
      </c>
      <c r="AD27" s="21">
        <f t="shared" si="4"/>
        <v>2417670.9967980008</v>
      </c>
      <c r="AE27" s="12" t="s">
        <v>154</v>
      </c>
    </row>
    <row r="28" spans="1:31" ht="15.6" x14ac:dyDescent="0.3">
      <c r="A28" s="12" t="s">
        <v>36</v>
      </c>
      <c r="B28" s="12">
        <v>2025</v>
      </c>
      <c r="C28" s="12" t="s">
        <v>160</v>
      </c>
      <c r="D28" s="12" t="s">
        <v>37</v>
      </c>
      <c r="E28" s="1">
        <v>16879</v>
      </c>
      <c r="F28" s="13" t="s">
        <v>23</v>
      </c>
      <c r="G28" s="1">
        <v>4</v>
      </c>
      <c r="H28" s="4" t="s">
        <v>39</v>
      </c>
      <c r="I28" s="2" t="s">
        <v>25</v>
      </c>
      <c r="J28" s="2"/>
      <c r="K28" s="2" t="s">
        <v>26</v>
      </c>
      <c r="L28" s="25">
        <v>2010</v>
      </c>
      <c r="M28" s="3">
        <v>2977703.4487980008</v>
      </c>
      <c r="N28" s="3"/>
      <c r="O28" s="11">
        <v>2800162.26</v>
      </c>
      <c r="P28" s="11"/>
      <c r="Q28" s="21">
        <f t="shared" si="0"/>
        <v>177541.18879800104</v>
      </c>
      <c r="R28" s="3">
        <f t="shared" si="10"/>
        <v>560032.45199999993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21">
        <f t="shared" si="1"/>
        <v>0</v>
      </c>
      <c r="AB28" s="21">
        <f t="shared" si="2"/>
        <v>560032.45199999993</v>
      </c>
      <c r="AC28" s="21">
        <f t="shared" si="3"/>
        <v>2240129.8079999997</v>
      </c>
      <c r="AD28" s="21">
        <f t="shared" si="4"/>
        <v>2417670.9967980008</v>
      </c>
      <c r="AE28" s="12" t="s">
        <v>154</v>
      </c>
    </row>
    <row r="29" spans="1:31" ht="15.6" x14ac:dyDescent="0.3">
      <c r="A29" s="12" t="s">
        <v>36</v>
      </c>
      <c r="B29" s="12">
        <v>2025</v>
      </c>
      <c r="C29" s="12" t="s">
        <v>160</v>
      </c>
      <c r="D29" s="12" t="s">
        <v>37</v>
      </c>
      <c r="E29" s="1">
        <v>16879</v>
      </c>
      <c r="F29" s="13" t="s">
        <v>23</v>
      </c>
      <c r="G29" s="1">
        <v>5</v>
      </c>
      <c r="H29" s="4" t="s">
        <v>39</v>
      </c>
      <c r="I29" s="2" t="s">
        <v>25</v>
      </c>
      <c r="J29" s="2"/>
      <c r="K29" s="2" t="s">
        <v>41</v>
      </c>
      <c r="L29" s="25">
        <v>315</v>
      </c>
      <c r="M29" s="3">
        <v>3148252.1987980008</v>
      </c>
      <c r="N29" s="3"/>
      <c r="O29" s="11">
        <v>2898102.26</v>
      </c>
      <c r="P29" s="11"/>
      <c r="Q29" s="21">
        <f t="shared" si="0"/>
        <v>250149.93879800104</v>
      </c>
      <c r="R29" s="3">
        <f t="shared" si="10"/>
        <v>579620.45199999993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21">
        <f t="shared" si="1"/>
        <v>0</v>
      </c>
      <c r="AB29" s="21">
        <f t="shared" si="2"/>
        <v>579620.45199999993</v>
      </c>
      <c r="AC29" s="21">
        <f t="shared" si="3"/>
        <v>2318481.8079999997</v>
      </c>
      <c r="AD29" s="21">
        <f t="shared" si="4"/>
        <v>2568631.7467980008</v>
      </c>
      <c r="AE29" s="12" t="s">
        <v>154</v>
      </c>
    </row>
    <row r="30" spans="1:31" ht="31.2" x14ac:dyDescent="0.3">
      <c r="A30" s="12" t="s">
        <v>22</v>
      </c>
      <c r="B30" s="12">
        <v>2025</v>
      </c>
      <c r="C30" s="12" t="s">
        <v>160</v>
      </c>
      <c r="D30" s="12" t="s">
        <v>122</v>
      </c>
      <c r="E30" s="13">
        <v>16340</v>
      </c>
      <c r="F30" s="13" t="s">
        <v>42</v>
      </c>
      <c r="G30" s="1">
        <v>11</v>
      </c>
      <c r="H30" s="2" t="s">
        <v>24</v>
      </c>
      <c r="I30" s="2" t="s">
        <v>43</v>
      </c>
      <c r="J30" s="2"/>
      <c r="K30" s="4" t="s">
        <v>44</v>
      </c>
      <c r="L30" s="25">
        <v>129</v>
      </c>
      <c r="M30" s="3">
        <v>957992.1913005003</v>
      </c>
      <c r="N30" s="3"/>
      <c r="O30" s="11">
        <v>924528.92</v>
      </c>
      <c r="P30" s="11"/>
      <c r="Q30" s="21">
        <f t="shared" si="0"/>
        <v>33463.271300500259</v>
      </c>
      <c r="R30" s="3">
        <f t="shared" si="10"/>
        <v>184905.78400000001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21">
        <f t="shared" si="1"/>
        <v>0</v>
      </c>
      <c r="AB30" s="21">
        <f t="shared" si="2"/>
        <v>184905.78400000001</v>
      </c>
      <c r="AC30" s="21">
        <f t="shared" si="3"/>
        <v>739623.13600000006</v>
      </c>
      <c r="AD30" s="21">
        <f t="shared" si="4"/>
        <v>773086.40730050032</v>
      </c>
      <c r="AE30" s="12" t="s">
        <v>154</v>
      </c>
    </row>
    <row r="31" spans="1:31" ht="31.2" x14ac:dyDescent="0.3">
      <c r="A31" s="12" t="s">
        <v>22</v>
      </c>
      <c r="B31" s="12">
        <v>2025</v>
      </c>
      <c r="C31" s="12" t="s">
        <v>160</v>
      </c>
      <c r="D31" s="12" t="s">
        <v>122</v>
      </c>
      <c r="E31" s="13">
        <v>16340</v>
      </c>
      <c r="F31" s="13" t="s">
        <v>42</v>
      </c>
      <c r="G31" s="1">
        <v>12</v>
      </c>
      <c r="H31" s="2" t="s">
        <v>24</v>
      </c>
      <c r="I31" s="2" t="s">
        <v>43</v>
      </c>
      <c r="J31" s="2"/>
      <c r="K31" s="4" t="s">
        <v>45</v>
      </c>
      <c r="L31" s="25">
        <v>105</v>
      </c>
      <c r="M31" s="3">
        <v>895601.91391050024</v>
      </c>
      <c r="N31" s="3"/>
      <c r="O31" s="11">
        <v>849850.88</v>
      </c>
      <c r="P31" s="11"/>
      <c r="Q31" s="21">
        <f t="shared" si="0"/>
        <v>45751.033910500235</v>
      </c>
      <c r="R31" s="3">
        <f t="shared" si="10"/>
        <v>169970.17600000001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21">
        <f t="shared" si="1"/>
        <v>0</v>
      </c>
      <c r="AB31" s="21">
        <f t="shared" si="2"/>
        <v>169970.17600000001</v>
      </c>
      <c r="AC31" s="21">
        <f t="shared" si="3"/>
        <v>679880.70400000003</v>
      </c>
      <c r="AD31" s="21">
        <f t="shared" si="4"/>
        <v>725631.73791050026</v>
      </c>
      <c r="AE31" s="12" t="s">
        <v>154</v>
      </c>
    </row>
    <row r="32" spans="1:31" ht="31.2" x14ac:dyDescent="0.3">
      <c r="A32" s="12" t="s">
        <v>22</v>
      </c>
      <c r="B32" s="12">
        <v>2025</v>
      </c>
      <c r="C32" s="12" t="s">
        <v>160</v>
      </c>
      <c r="D32" s="12" t="s">
        <v>122</v>
      </c>
      <c r="E32" s="13">
        <v>16340</v>
      </c>
      <c r="F32" s="13" t="s">
        <v>42</v>
      </c>
      <c r="G32" s="1">
        <v>13</v>
      </c>
      <c r="H32" s="2" t="s">
        <v>24</v>
      </c>
      <c r="I32" s="2" t="s">
        <v>43</v>
      </c>
      <c r="J32" s="2"/>
      <c r="K32" s="5" t="s">
        <v>46</v>
      </c>
      <c r="L32" s="25">
        <v>75</v>
      </c>
      <c r="M32" s="3">
        <v>668232.31271615904</v>
      </c>
      <c r="N32" s="3"/>
      <c r="O32" s="11">
        <v>667632.81000000006</v>
      </c>
      <c r="P32" s="11"/>
      <c r="Q32" s="21">
        <f t="shared" si="0"/>
        <v>599.50271615898237</v>
      </c>
      <c r="R32" s="3">
        <f t="shared" si="10"/>
        <v>133526.56200000001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21">
        <f t="shared" si="1"/>
        <v>0</v>
      </c>
      <c r="AB32" s="21">
        <f t="shared" si="2"/>
        <v>133526.56200000001</v>
      </c>
      <c r="AC32" s="21">
        <f t="shared" si="3"/>
        <v>534106.24800000002</v>
      </c>
      <c r="AD32" s="21">
        <f t="shared" si="4"/>
        <v>534705.750716159</v>
      </c>
      <c r="AE32" s="12" t="s">
        <v>154</v>
      </c>
    </row>
    <row r="33" spans="1:31" ht="15.6" x14ac:dyDescent="0.3">
      <c r="A33" s="12" t="s">
        <v>22</v>
      </c>
      <c r="B33" s="12">
        <v>2025</v>
      </c>
      <c r="C33" s="12" t="s">
        <v>160</v>
      </c>
      <c r="D33" s="12" t="s">
        <v>122</v>
      </c>
      <c r="E33" s="13">
        <v>16340</v>
      </c>
      <c r="F33" s="13" t="s">
        <v>42</v>
      </c>
      <c r="G33" s="1">
        <v>14</v>
      </c>
      <c r="H33" s="2" t="s">
        <v>24</v>
      </c>
      <c r="I33" s="2" t="s">
        <v>43</v>
      </c>
      <c r="J33" s="2"/>
      <c r="K33" s="5" t="s">
        <v>47</v>
      </c>
      <c r="L33" s="25">
        <v>45</v>
      </c>
      <c r="M33" s="3">
        <v>281073.73719675053</v>
      </c>
      <c r="N33" s="3"/>
      <c r="O33" s="11">
        <v>287159.2</v>
      </c>
      <c r="P33" s="11"/>
      <c r="Q33" s="21">
        <f t="shared" si="0"/>
        <v>-6085.4628032494802</v>
      </c>
      <c r="R33" s="3">
        <f t="shared" si="10"/>
        <v>57431.840000000004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21">
        <f t="shared" si="1"/>
        <v>0</v>
      </c>
      <c r="AB33" s="21">
        <f t="shared" si="2"/>
        <v>57431.840000000004</v>
      </c>
      <c r="AC33" s="21">
        <f t="shared" si="3"/>
        <v>229727.36000000002</v>
      </c>
      <c r="AD33" s="21">
        <f t="shared" si="4"/>
        <v>223641.89719675053</v>
      </c>
      <c r="AE33" s="12" t="s">
        <v>154</v>
      </c>
    </row>
    <row r="34" spans="1:31" ht="46.8" x14ac:dyDescent="0.3">
      <c r="A34" s="12" t="s">
        <v>22</v>
      </c>
      <c r="B34" s="12">
        <v>2025</v>
      </c>
      <c r="C34" s="12" t="s">
        <v>160</v>
      </c>
      <c r="D34" s="12" t="s">
        <v>122</v>
      </c>
      <c r="E34" s="13">
        <v>16340</v>
      </c>
      <c r="F34" s="13" t="s">
        <v>42</v>
      </c>
      <c r="G34" s="1">
        <v>15</v>
      </c>
      <c r="H34" s="2" t="s">
        <v>24</v>
      </c>
      <c r="I34" s="2" t="s">
        <v>43</v>
      </c>
      <c r="J34" s="2"/>
      <c r="K34" s="6" t="s">
        <v>48</v>
      </c>
      <c r="L34" s="25">
        <v>90</v>
      </c>
      <c r="M34" s="3">
        <v>850618.86</v>
      </c>
      <c r="N34" s="3"/>
      <c r="O34" s="11">
        <v>629687.72</v>
      </c>
      <c r="P34" s="11"/>
      <c r="Q34" s="21">
        <f t="shared" si="0"/>
        <v>220931.14</v>
      </c>
      <c r="R34" s="3">
        <f t="shared" si="10"/>
        <v>125937.54399999999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21">
        <f t="shared" si="1"/>
        <v>0</v>
      </c>
      <c r="AB34" s="21">
        <f t="shared" si="2"/>
        <v>125937.54399999999</v>
      </c>
      <c r="AC34" s="21">
        <f t="shared" si="3"/>
        <v>503750.17599999998</v>
      </c>
      <c r="AD34" s="21">
        <f t="shared" si="4"/>
        <v>724681.31599999999</v>
      </c>
      <c r="AE34" s="12" t="s">
        <v>154</v>
      </c>
    </row>
    <row r="35" spans="1:31" ht="31.2" x14ac:dyDescent="0.3">
      <c r="A35" s="12" t="s">
        <v>22</v>
      </c>
      <c r="B35" s="12">
        <v>2025</v>
      </c>
      <c r="C35" s="12" t="s">
        <v>160</v>
      </c>
      <c r="D35" s="12" t="s">
        <v>122</v>
      </c>
      <c r="E35" s="13">
        <v>16340</v>
      </c>
      <c r="F35" s="13" t="s">
        <v>42</v>
      </c>
      <c r="G35" s="1">
        <v>16</v>
      </c>
      <c r="H35" s="2" t="s">
        <v>24</v>
      </c>
      <c r="I35" s="2" t="s">
        <v>43</v>
      </c>
      <c r="J35" s="2"/>
      <c r="K35" s="5" t="s">
        <v>49</v>
      </c>
      <c r="L35" s="25">
        <v>84</v>
      </c>
      <c r="M35" s="3">
        <v>312637.96000000002</v>
      </c>
      <c r="N35" s="3"/>
      <c r="O35" s="11">
        <v>319546.39</v>
      </c>
      <c r="P35" s="11"/>
      <c r="Q35" s="21">
        <f t="shared" si="0"/>
        <v>-6908.429999999993</v>
      </c>
      <c r="R35" s="3">
        <f t="shared" si="10"/>
        <v>63909.278000000006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21">
        <f t="shared" si="1"/>
        <v>0</v>
      </c>
      <c r="AB35" s="21">
        <f t="shared" si="2"/>
        <v>63909.278000000006</v>
      </c>
      <c r="AC35" s="21">
        <f t="shared" si="3"/>
        <v>255637.11200000002</v>
      </c>
      <c r="AD35" s="21">
        <f t="shared" si="4"/>
        <v>248728.68200000003</v>
      </c>
      <c r="AE35" s="12" t="s">
        <v>154</v>
      </c>
    </row>
    <row r="36" spans="1:31" ht="15.6" x14ac:dyDescent="0.3">
      <c r="A36" s="12" t="s">
        <v>36</v>
      </c>
      <c r="B36" s="12">
        <v>2025</v>
      </c>
      <c r="C36" s="12" t="s">
        <v>160</v>
      </c>
      <c r="D36" s="12" t="s">
        <v>37</v>
      </c>
      <c r="E36" s="1">
        <v>16879</v>
      </c>
      <c r="F36" s="13" t="s">
        <v>42</v>
      </c>
      <c r="G36" s="1">
        <v>6</v>
      </c>
      <c r="H36" s="4" t="s">
        <v>39</v>
      </c>
      <c r="I36" s="2" t="s">
        <v>43</v>
      </c>
      <c r="J36" s="2"/>
      <c r="K36" s="2" t="s">
        <v>50</v>
      </c>
      <c r="L36" s="25">
        <v>144</v>
      </c>
      <c r="M36" s="3">
        <v>3446792.1987980008</v>
      </c>
      <c r="N36" s="3"/>
      <c r="O36" s="11">
        <v>3102360.26</v>
      </c>
      <c r="P36" s="11"/>
      <c r="Q36" s="21">
        <f t="shared" si="0"/>
        <v>344431.93879800104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21">
        <f t="shared" si="1"/>
        <v>0</v>
      </c>
      <c r="AB36" s="21">
        <f t="shared" si="2"/>
        <v>0</v>
      </c>
      <c r="AC36" s="21">
        <f t="shared" si="3"/>
        <v>3102360.26</v>
      </c>
      <c r="AD36" s="21">
        <f t="shared" si="4"/>
        <v>3446792.1987980008</v>
      </c>
      <c r="AE36" s="12" t="s">
        <v>154</v>
      </c>
    </row>
    <row r="37" spans="1:31" ht="31.2" x14ac:dyDescent="0.3">
      <c r="A37" s="12" t="s">
        <v>36</v>
      </c>
      <c r="B37" s="12">
        <v>2025</v>
      </c>
      <c r="C37" s="12" t="s">
        <v>160</v>
      </c>
      <c r="D37" s="12" t="s">
        <v>37</v>
      </c>
      <c r="E37" s="1">
        <v>16879</v>
      </c>
      <c r="F37" s="13" t="s">
        <v>42</v>
      </c>
      <c r="G37" s="1">
        <v>7</v>
      </c>
      <c r="H37" s="4" t="s">
        <v>39</v>
      </c>
      <c r="I37" s="2" t="s">
        <v>43</v>
      </c>
      <c r="J37" s="2"/>
      <c r="K37" s="4" t="s">
        <v>44</v>
      </c>
      <c r="L37" s="25">
        <v>129</v>
      </c>
      <c r="M37" s="3">
        <v>3134894.9754646677</v>
      </c>
      <c r="N37" s="3"/>
      <c r="O37" s="11">
        <v>2970398.26</v>
      </c>
      <c r="P37" s="11"/>
      <c r="Q37" s="21">
        <f t="shared" si="0"/>
        <v>164496.71546466788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21">
        <f t="shared" si="1"/>
        <v>0</v>
      </c>
      <c r="AB37" s="21">
        <f t="shared" si="2"/>
        <v>0</v>
      </c>
      <c r="AC37" s="21">
        <f t="shared" si="3"/>
        <v>2970398.26</v>
      </c>
      <c r="AD37" s="21">
        <f t="shared" si="4"/>
        <v>3134894.9754646677</v>
      </c>
      <c r="AE37" s="12" t="s">
        <v>154</v>
      </c>
    </row>
    <row r="38" spans="1:31" ht="15.6" x14ac:dyDescent="0.3">
      <c r="A38" s="12" t="s">
        <v>36</v>
      </c>
      <c r="B38" s="12">
        <v>2025</v>
      </c>
      <c r="C38" s="12" t="s">
        <v>160</v>
      </c>
      <c r="D38" s="12" t="s">
        <v>37</v>
      </c>
      <c r="E38" s="1">
        <v>16879</v>
      </c>
      <c r="F38" s="13" t="s">
        <v>42</v>
      </c>
      <c r="G38" s="1">
        <v>8</v>
      </c>
      <c r="H38" s="4" t="s">
        <v>39</v>
      </c>
      <c r="I38" s="2" t="s">
        <v>43</v>
      </c>
      <c r="J38" s="2"/>
      <c r="K38" s="2" t="s">
        <v>51</v>
      </c>
      <c r="L38" s="25">
        <v>135</v>
      </c>
      <c r="M38" s="3">
        <v>3134894.9754646677</v>
      </c>
      <c r="N38" s="3"/>
      <c r="O38" s="11">
        <v>2970398.26</v>
      </c>
      <c r="P38" s="11"/>
      <c r="Q38" s="21">
        <f t="shared" si="0"/>
        <v>164496.71546466788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21">
        <f t="shared" si="1"/>
        <v>0</v>
      </c>
      <c r="AB38" s="21">
        <f t="shared" si="2"/>
        <v>0</v>
      </c>
      <c r="AC38" s="21">
        <f t="shared" si="3"/>
        <v>2970398.26</v>
      </c>
      <c r="AD38" s="21">
        <f t="shared" si="4"/>
        <v>3134894.9754646677</v>
      </c>
      <c r="AE38" s="12" t="s">
        <v>154</v>
      </c>
    </row>
    <row r="39" spans="1:31" ht="31.2" x14ac:dyDescent="0.3">
      <c r="A39" s="12" t="s">
        <v>36</v>
      </c>
      <c r="B39" s="12">
        <v>2025</v>
      </c>
      <c r="C39" s="12" t="s">
        <v>160</v>
      </c>
      <c r="D39" s="12" t="s">
        <v>37</v>
      </c>
      <c r="E39" s="1">
        <v>16879</v>
      </c>
      <c r="F39" s="13" t="s">
        <v>42</v>
      </c>
      <c r="G39" s="1">
        <v>9</v>
      </c>
      <c r="H39" s="4" t="s">
        <v>39</v>
      </c>
      <c r="I39" s="2" t="s">
        <v>43</v>
      </c>
      <c r="J39" s="2"/>
      <c r="K39" s="4" t="s">
        <v>52</v>
      </c>
      <c r="L39" s="25">
        <v>150</v>
      </c>
      <c r="M39" s="3">
        <v>3134894.9754646677</v>
      </c>
      <c r="N39" s="3"/>
      <c r="O39" s="11">
        <v>2970398.26</v>
      </c>
      <c r="P39" s="11"/>
      <c r="Q39" s="21">
        <f t="shared" si="0"/>
        <v>164496.71546466788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21">
        <f t="shared" si="1"/>
        <v>0</v>
      </c>
      <c r="AB39" s="21">
        <f t="shared" si="2"/>
        <v>0</v>
      </c>
      <c r="AC39" s="21">
        <f t="shared" si="3"/>
        <v>2970398.26</v>
      </c>
      <c r="AD39" s="21">
        <f t="shared" si="4"/>
        <v>3134894.9754646677</v>
      </c>
      <c r="AE39" s="12" t="s">
        <v>154</v>
      </c>
    </row>
    <row r="40" spans="1:31" ht="15.6" x14ac:dyDescent="0.3">
      <c r="A40" s="12" t="s">
        <v>22</v>
      </c>
      <c r="B40" s="12">
        <v>2025</v>
      </c>
      <c r="C40" s="12" t="s">
        <v>160</v>
      </c>
      <c r="D40" s="12" t="s">
        <v>122</v>
      </c>
      <c r="E40" s="13">
        <v>16340</v>
      </c>
      <c r="F40" s="13" t="s">
        <v>53</v>
      </c>
      <c r="G40" s="1">
        <v>17</v>
      </c>
      <c r="H40" s="2" t="s">
        <v>24</v>
      </c>
      <c r="I40" s="2" t="s">
        <v>54</v>
      </c>
      <c r="J40" s="2"/>
      <c r="K40" s="2" t="s">
        <v>55</v>
      </c>
      <c r="L40" s="25">
        <v>54</v>
      </c>
      <c r="M40" s="3">
        <v>544071.25</v>
      </c>
      <c r="N40" s="3"/>
      <c r="O40" s="11">
        <v>422400.31</v>
      </c>
      <c r="P40" s="11"/>
      <c r="Q40" s="21">
        <f t="shared" si="0"/>
        <v>121670.94</v>
      </c>
      <c r="R40" s="3">
        <f t="shared" ref="R40:R75" si="11">O40*20%</f>
        <v>84480.062000000005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21">
        <f t="shared" si="1"/>
        <v>0</v>
      </c>
      <c r="AB40" s="21">
        <f t="shared" si="2"/>
        <v>84480.062000000005</v>
      </c>
      <c r="AC40" s="21">
        <f t="shared" si="3"/>
        <v>337920.24800000002</v>
      </c>
      <c r="AD40" s="21">
        <f t="shared" si="4"/>
        <v>459591.18800000002</v>
      </c>
      <c r="AE40" s="12" t="s">
        <v>154</v>
      </c>
    </row>
    <row r="41" spans="1:31" ht="31.2" x14ac:dyDescent="0.3">
      <c r="A41" s="12" t="s">
        <v>22</v>
      </c>
      <c r="B41" s="12">
        <v>2025</v>
      </c>
      <c r="C41" s="12" t="s">
        <v>160</v>
      </c>
      <c r="D41" s="12" t="s">
        <v>122</v>
      </c>
      <c r="E41" s="13">
        <v>16340</v>
      </c>
      <c r="F41" s="13" t="s">
        <v>53</v>
      </c>
      <c r="G41" s="1">
        <v>18</v>
      </c>
      <c r="H41" s="2" t="s">
        <v>24</v>
      </c>
      <c r="I41" s="2" t="s">
        <v>54</v>
      </c>
      <c r="J41" s="2"/>
      <c r="K41" s="7" t="s">
        <v>56</v>
      </c>
      <c r="L41" s="25">
        <v>78</v>
      </c>
      <c r="M41" s="3">
        <v>233463.41</v>
      </c>
      <c r="N41" s="3"/>
      <c r="O41" s="11">
        <v>269102.55</v>
      </c>
      <c r="P41" s="11"/>
      <c r="Q41" s="21">
        <f t="shared" si="0"/>
        <v>-35639.139999999985</v>
      </c>
      <c r="R41" s="3">
        <f t="shared" si="11"/>
        <v>53820.51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21">
        <f t="shared" si="1"/>
        <v>0</v>
      </c>
      <c r="AB41" s="21">
        <f t="shared" si="2"/>
        <v>53820.51</v>
      </c>
      <c r="AC41" s="21">
        <f t="shared" si="3"/>
        <v>215282.03999999998</v>
      </c>
      <c r="AD41" s="21">
        <f t="shared" si="4"/>
        <v>179642.9</v>
      </c>
      <c r="AE41" s="12" t="s">
        <v>154</v>
      </c>
    </row>
    <row r="42" spans="1:31" ht="46.8" x14ac:dyDescent="0.3">
      <c r="A42" s="12" t="s">
        <v>22</v>
      </c>
      <c r="B42" s="12">
        <v>2025</v>
      </c>
      <c r="C42" s="12" t="s">
        <v>160</v>
      </c>
      <c r="D42" s="12" t="s">
        <v>122</v>
      </c>
      <c r="E42" s="13">
        <v>16340</v>
      </c>
      <c r="F42" s="13" t="s">
        <v>53</v>
      </c>
      <c r="G42" s="1">
        <v>19</v>
      </c>
      <c r="H42" s="2" t="s">
        <v>24</v>
      </c>
      <c r="I42" s="2" t="s">
        <v>54</v>
      </c>
      <c r="J42" s="2"/>
      <c r="K42" s="6" t="s">
        <v>57</v>
      </c>
      <c r="L42" s="25">
        <v>66</v>
      </c>
      <c r="M42" s="3">
        <v>363390.87</v>
      </c>
      <c r="N42" s="3"/>
      <c r="O42" s="11">
        <v>331387.64</v>
      </c>
      <c r="P42" s="11"/>
      <c r="Q42" s="21">
        <f t="shared" si="0"/>
        <v>32003.229999999981</v>
      </c>
      <c r="R42" s="3">
        <f t="shared" si="11"/>
        <v>66277.528000000006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21">
        <f t="shared" si="1"/>
        <v>0</v>
      </c>
      <c r="AB42" s="21">
        <f t="shared" si="2"/>
        <v>66277.528000000006</v>
      </c>
      <c r="AC42" s="21">
        <f t="shared" si="3"/>
        <v>265110.11200000002</v>
      </c>
      <c r="AD42" s="21">
        <f t="shared" si="4"/>
        <v>297113.342</v>
      </c>
      <c r="AE42" s="12" t="s">
        <v>154</v>
      </c>
    </row>
    <row r="43" spans="1:31" ht="31.2" x14ac:dyDescent="0.3">
      <c r="A43" s="12" t="s">
        <v>22</v>
      </c>
      <c r="B43" s="12">
        <v>2025</v>
      </c>
      <c r="C43" s="12" t="s">
        <v>160</v>
      </c>
      <c r="D43" s="12" t="s">
        <v>122</v>
      </c>
      <c r="E43" s="13">
        <v>16340</v>
      </c>
      <c r="F43" s="13" t="s">
        <v>53</v>
      </c>
      <c r="G43" s="1">
        <v>20</v>
      </c>
      <c r="H43" s="2" t="s">
        <v>24</v>
      </c>
      <c r="I43" s="2" t="s">
        <v>54</v>
      </c>
      <c r="J43" s="2"/>
      <c r="K43" s="6" t="s">
        <v>58</v>
      </c>
      <c r="L43" s="25">
        <v>57</v>
      </c>
      <c r="M43" s="3">
        <v>308577.71999999997</v>
      </c>
      <c r="N43" s="3"/>
      <c r="O43" s="11">
        <v>291918.65000000002</v>
      </c>
      <c r="P43" s="11"/>
      <c r="Q43" s="21">
        <f t="shared" si="0"/>
        <v>16659.069999999949</v>
      </c>
      <c r="R43" s="3">
        <f t="shared" si="11"/>
        <v>58383.73000000001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21">
        <f t="shared" si="1"/>
        <v>0</v>
      </c>
      <c r="AB43" s="21">
        <f t="shared" si="2"/>
        <v>58383.73000000001</v>
      </c>
      <c r="AC43" s="21">
        <f t="shared" si="3"/>
        <v>233534.92</v>
      </c>
      <c r="AD43" s="21">
        <f t="shared" si="4"/>
        <v>250193.98999999996</v>
      </c>
      <c r="AE43" s="12" t="s">
        <v>154</v>
      </c>
    </row>
    <row r="44" spans="1:31" ht="46.8" x14ac:dyDescent="0.3">
      <c r="A44" s="12" t="s">
        <v>22</v>
      </c>
      <c r="B44" s="12">
        <v>2025</v>
      </c>
      <c r="C44" s="12" t="s">
        <v>160</v>
      </c>
      <c r="D44" s="12" t="s">
        <v>122</v>
      </c>
      <c r="E44" s="13">
        <v>16340</v>
      </c>
      <c r="F44" s="13" t="s">
        <v>53</v>
      </c>
      <c r="G44" s="1">
        <v>21</v>
      </c>
      <c r="H44" s="2" t="s">
        <v>24</v>
      </c>
      <c r="I44" s="2" t="s">
        <v>54</v>
      </c>
      <c r="J44" s="2"/>
      <c r="K44" s="6" t="s">
        <v>59</v>
      </c>
      <c r="L44" s="25">
        <v>48</v>
      </c>
      <c r="M44" s="3">
        <v>263915.15999999997</v>
      </c>
      <c r="N44" s="3"/>
      <c r="O44" s="11">
        <v>258195.18</v>
      </c>
      <c r="P44" s="11"/>
      <c r="Q44" s="21">
        <f t="shared" si="0"/>
        <v>5719.9799999999814</v>
      </c>
      <c r="R44" s="3">
        <f t="shared" si="11"/>
        <v>51639.036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21">
        <f t="shared" si="1"/>
        <v>0</v>
      </c>
      <c r="AB44" s="21">
        <f t="shared" si="2"/>
        <v>51639.036</v>
      </c>
      <c r="AC44" s="21">
        <f t="shared" si="3"/>
        <v>206556.144</v>
      </c>
      <c r="AD44" s="21">
        <f t="shared" si="4"/>
        <v>212276.12399999998</v>
      </c>
      <c r="AE44" s="12" t="s">
        <v>154</v>
      </c>
    </row>
    <row r="45" spans="1:31" ht="15.6" x14ac:dyDescent="0.3">
      <c r="A45" s="12" t="s">
        <v>22</v>
      </c>
      <c r="B45" s="12">
        <v>2025</v>
      </c>
      <c r="C45" s="12" t="s">
        <v>160</v>
      </c>
      <c r="D45" s="12" t="s">
        <v>122</v>
      </c>
      <c r="E45" s="13">
        <v>16340</v>
      </c>
      <c r="F45" s="13" t="s">
        <v>53</v>
      </c>
      <c r="G45" s="1">
        <v>22</v>
      </c>
      <c r="H45" s="2" t="s">
        <v>24</v>
      </c>
      <c r="I45" s="2" t="s">
        <v>54</v>
      </c>
      <c r="J45" s="2"/>
      <c r="K45" s="6" t="s">
        <v>60</v>
      </c>
      <c r="L45" s="25">
        <v>6</v>
      </c>
      <c r="M45" s="3">
        <v>162409.32999999999</v>
      </c>
      <c r="N45" s="3"/>
      <c r="O45" s="11">
        <v>161338.49</v>
      </c>
      <c r="P45" s="11"/>
      <c r="Q45" s="21">
        <f t="shared" si="0"/>
        <v>1070.8399999999965</v>
      </c>
      <c r="R45" s="3">
        <f t="shared" si="11"/>
        <v>32267.698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21">
        <f t="shared" si="1"/>
        <v>0</v>
      </c>
      <c r="AB45" s="21">
        <f t="shared" si="2"/>
        <v>32267.698</v>
      </c>
      <c r="AC45" s="21">
        <f t="shared" si="3"/>
        <v>129070.79199999999</v>
      </c>
      <c r="AD45" s="21">
        <f t="shared" si="4"/>
        <v>130141.63199999998</v>
      </c>
      <c r="AE45" s="12" t="s">
        <v>154</v>
      </c>
    </row>
    <row r="46" spans="1:31" ht="31.2" x14ac:dyDescent="0.3">
      <c r="A46" s="12" t="s">
        <v>22</v>
      </c>
      <c r="B46" s="12">
        <v>2025</v>
      </c>
      <c r="C46" s="12" t="s">
        <v>160</v>
      </c>
      <c r="D46" s="12" t="s">
        <v>122</v>
      </c>
      <c r="E46" s="13">
        <v>16340</v>
      </c>
      <c r="F46" s="13" t="s">
        <v>53</v>
      </c>
      <c r="G46" s="1">
        <v>23</v>
      </c>
      <c r="H46" s="2" t="s">
        <v>24</v>
      </c>
      <c r="I46" s="2" t="s">
        <v>54</v>
      </c>
      <c r="J46" s="2"/>
      <c r="K46" s="7" t="s">
        <v>61</v>
      </c>
      <c r="L46" s="25">
        <v>36</v>
      </c>
      <c r="M46" s="3">
        <v>535950.78</v>
      </c>
      <c r="N46" s="3"/>
      <c r="O46" s="11">
        <v>400917.65</v>
      </c>
      <c r="P46" s="11"/>
      <c r="Q46" s="21">
        <f t="shared" si="0"/>
        <v>135033.13</v>
      </c>
      <c r="R46" s="3">
        <f t="shared" si="11"/>
        <v>80183.530000000013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21">
        <f t="shared" si="1"/>
        <v>0</v>
      </c>
      <c r="AB46" s="21">
        <f t="shared" si="2"/>
        <v>80183.530000000013</v>
      </c>
      <c r="AC46" s="21">
        <f t="shared" si="3"/>
        <v>320734.12</v>
      </c>
      <c r="AD46" s="21">
        <f t="shared" si="4"/>
        <v>455767.25</v>
      </c>
      <c r="AE46" s="12" t="s">
        <v>154</v>
      </c>
    </row>
    <row r="47" spans="1:31" ht="31.2" x14ac:dyDescent="0.3">
      <c r="A47" s="12" t="s">
        <v>22</v>
      </c>
      <c r="B47" s="12">
        <v>2025</v>
      </c>
      <c r="C47" s="12" t="s">
        <v>160</v>
      </c>
      <c r="D47" s="12" t="s">
        <v>122</v>
      </c>
      <c r="E47" s="13">
        <v>16340</v>
      </c>
      <c r="F47" s="13" t="s">
        <v>53</v>
      </c>
      <c r="G47" s="1">
        <v>24</v>
      </c>
      <c r="H47" s="2" t="s">
        <v>24</v>
      </c>
      <c r="I47" s="2" t="s">
        <v>54</v>
      </c>
      <c r="J47" s="2"/>
      <c r="K47" s="7" t="s">
        <v>62</v>
      </c>
      <c r="L47" s="25">
        <v>48</v>
      </c>
      <c r="M47" s="3">
        <v>540011.02</v>
      </c>
      <c r="N47" s="3"/>
      <c r="O47" s="11">
        <v>414473.32</v>
      </c>
      <c r="P47" s="11"/>
      <c r="Q47" s="21">
        <f t="shared" si="0"/>
        <v>125537.70000000001</v>
      </c>
      <c r="R47" s="3">
        <f t="shared" si="11"/>
        <v>82894.664000000004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21">
        <f t="shared" si="1"/>
        <v>0</v>
      </c>
      <c r="AB47" s="21">
        <f t="shared" si="2"/>
        <v>82894.664000000004</v>
      </c>
      <c r="AC47" s="21">
        <f t="shared" si="3"/>
        <v>331578.65600000002</v>
      </c>
      <c r="AD47" s="21">
        <f t="shared" si="4"/>
        <v>457116.35600000003</v>
      </c>
      <c r="AE47" s="12" t="s">
        <v>154</v>
      </c>
    </row>
    <row r="48" spans="1:31" ht="31.2" x14ac:dyDescent="0.3">
      <c r="A48" s="12" t="s">
        <v>22</v>
      </c>
      <c r="B48" s="12">
        <v>2025</v>
      </c>
      <c r="C48" s="12" t="s">
        <v>160</v>
      </c>
      <c r="D48" s="12" t="s">
        <v>122</v>
      </c>
      <c r="E48" s="13">
        <v>16340</v>
      </c>
      <c r="F48" s="13" t="s">
        <v>53</v>
      </c>
      <c r="G48" s="1">
        <v>25</v>
      </c>
      <c r="H48" s="2" t="s">
        <v>24</v>
      </c>
      <c r="I48" s="2" t="s">
        <v>54</v>
      </c>
      <c r="J48" s="2"/>
      <c r="K48" s="6" t="s">
        <v>63</v>
      </c>
      <c r="L48" s="25">
        <v>123</v>
      </c>
      <c r="M48" s="3">
        <v>578583.23</v>
      </c>
      <c r="N48" s="3"/>
      <c r="O48" s="11">
        <v>497311.45</v>
      </c>
      <c r="P48" s="11"/>
      <c r="Q48" s="21">
        <f t="shared" si="0"/>
        <v>81271.77999999997</v>
      </c>
      <c r="R48" s="3">
        <f t="shared" si="11"/>
        <v>99462.290000000008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21">
        <f t="shared" si="1"/>
        <v>0</v>
      </c>
      <c r="AB48" s="21">
        <f t="shared" si="2"/>
        <v>99462.290000000008</v>
      </c>
      <c r="AC48" s="21">
        <f t="shared" si="3"/>
        <v>397849.16000000003</v>
      </c>
      <c r="AD48" s="21">
        <f t="shared" si="4"/>
        <v>479120.94</v>
      </c>
      <c r="AE48" s="12" t="s">
        <v>154</v>
      </c>
    </row>
    <row r="49" spans="1:31" ht="31.2" x14ac:dyDescent="0.3">
      <c r="A49" s="12" t="s">
        <v>22</v>
      </c>
      <c r="B49" s="12">
        <v>2025</v>
      </c>
      <c r="C49" s="12" t="s">
        <v>160</v>
      </c>
      <c r="D49" s="12" t="s">
        <v>122</v>
      </c>
      <c r="E49" s="13">
        <v>16340</v>
      </c>
      <c r="F49" s="13" t="s">
        <v>53</v>
      </c>
      <c r="G49" s="1">
        <v>26</v>
      </c>
      <c r="H49" s="2" t="s">
        <v>24</v>
      </c>
      <c r="I49" s="2" t="s">
        <v>54</v>
      </c>
      <c r="J49" s="2"/>
      <c r="K49" s="6" t="s">
        <v>64</v>
      </c>
      <c r="L49" s="25">
        <v>120</v>
      </c>
      <c r="M49" s="3">
        <v>304517.49</v>
      </c>
      <c r="N49" s="3"/>
      <c r="O49" s="11">
        <v>348722.69</v>
      </c>
      <c r="P49" s="11"/>
      <c r="Q49" s="21">
        <f t="shared" si="0"/>
        <v>-44205.200000000012</v>
      </c>
      <c r="R49" s="3">
        <f t="shared" si="11"/>
        <v>69744.538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21">
        <f t="shared" si="1"/>
        <v>0</v>
      </c>
      <c r="AB49" s="21">
        <f t="shared" si="2"/>
        <v>69744.538</v>
      </c>
      <c r="AC49" s="21">
        <f t="shared" si="3"/>
        <v>278978.152</v>
      </c>
      <c r="AD49" s="21">
        <f t="shared" si="4"/>
        <v>234772.95199999999</v>
      </c>
      <c r="AE49" s="12" t="s">
        <v>154</v>
      </c>
    </row>
    <row r="50" spans="1:31" ht="31.2" x14ac:dyDescent="0.3">
      <c r="A50" s="12" t="s">
        <v>22</v>
      </c>
      <c r="B50" s="12">
        <v>2025</v>
      </c>
      <c r="C50" s="12" t="s">
        <v>160</v>
      </c>
      <c r="D50" s="12" t="s">
        <v>122</v>
      </c>
      <c r="E50" s="13">
        <v>16340</v>
      </c>
      <c r="F50" s="13" t="s">
        <v>53</v>
      </c>
      <c r="G50" s="1">
        <v>27</v>
      </c>
      <c r="H50" s="2" t="s">
        <v>24</v>
      </c>
      <c r="I50" s="2" t="s">
        <v>54</v>
      </c>
      <c r="J50" s="2"/>
      <c r="K50" s="6" t="s">
        <v>65</v>
      </c>
      <c r="L50" s="25">
        <v>45</v>
      </c>
      <c r="M50" s="3">
        <v>812046.64</v>
      </c>
      <c r="N50" s="3"/>
      <c r="O50" s="11">
        <v>565638.86</v>
      </c>
      <c r="P50" s="11"/>
      <c r="Q50" s="21">
        <f t="shared" si="0"/>
        <v>246407.78000000003</v>
      </c>
      <c r="R50" s="3">
        <f t="shared" si="11"/>
        <v>113127.772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21">
        <f t="shared" si="1"/>
        <v>0</v>
      </c>
      <c r="AB50" s="21">
        <f t="shared" si="2"/>
        <v>113127.772</v>
      </c>
      <c r="AC50" s="21">
        <f t="shared" si="3"/>
        <v>452511.08799999999</v>
      </c>
      <c r="AD50" s="21">
        <f t="shared" si="4"/>
        <v>698918.86800000002</v>
      </c>
      <c r="AE50" s="12" t="s">
        <v>154</v>
      </c>
    </row>
    <row r="51" spans="1:31" ht="31.2" x14ac:dyDescent="0.3">
      <c r="A51" s="12" t="s">
        <v>22</v>
      </c>
      <c r="B51" s="12">
        <v>2025</v>
      </c>
      <c r="C51" s="12" t="s">
        <v>160</v>
      </c>
      <c r="D51" s="12" t="s">
        <v>122</v>
      </c>
      <c r="E51" s="13">
        <v>16340</v>
      </c>
      <c r="F51" s="13" t="s">
        <v>53</v>
      </c>
      <c r="G51" s="1">
        <v>28</v>
      </c>
      <c r="H51" s="2" t="s">
        <v>24</v>
      </c>
      <c r="I51" s="2" t="s">
        <v>54</v>
      </c>
      <c r="J51" s="2"/>
      <c r="K51" s="6" t="s">
        <v>66</v>
      </c>
      <c r="L51" s="25">
        <v>30</v>
      </c>
      <c r="M51" s="3">
        <v>710540.81</v>
      </c>
      <c r="N51" s="3"/>
      <c r="O51" s="11">
        <v>494111.7</v>
      </c>
      <c r="P51" s="11"/>
      <c r="Q51" s="21">
        <f t="shared" si="0"/>
        <v>216429.11000000004</v>
      </c>
      <c r="R51" s="3">
        <f t="shared" si="11"/>
        <v>98822.340000000011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21">
        <f t="shared" si="1"/>
        <v>0</v>
      </c>
      <c r="AB51" s="21">
        <f t="shared" si="2"/>
        <v>98822.340000000011</v>
      </c>
      <c r="AC51" s="21">
        <f t="shared" si="3"/>
        <v>395289.36</v>
      </c>
      <c r="AD51" s="21">
        <f t="shared" si="4"/>
        <v>611718.47</v>
      </c>
      <c r="AE51" s="12" t="s">
        <v>154</v>
      </c>
    </row>
    <row r="52" spans="1:31" ht="46.8" x14ac:dyDescent="0.3">
      <c r="A52" s="12" t="s">
        <v>22</v>
      </c>
      <c r="B52" s="12">
        <v>2025</v>
      </c>
      <c r="C52" s="12" t="s">
        <v>160</v>
      </c>
      <c r="D52" s="12" t="s">
        <v>122</v>
      </c>
      <c r="E52" s="13">
        <v>16340</v>
      </c>
      <c r="F52" s="13" t="s">
        <v>53</v>
      </c>
      <c r="G52" s="1">
        <v>29</v>
      </c>
      <c r="H52" s="2" t="s">
        <v>24</v>
      </c>
      <c r="I52" s="2" t="s">
        <v>54</v>
      </c>
      <c r="J52" s="2"/>
      <c r="K52" s="6" t="s">
        <v>67</v>
      </c>
      <c r="L52" s="25">
        <v>51</v>
      </c>
      <c r="M52" s="3">
        <v>531890.55000000005</v>
      </c>
      <c r="N52" s="3"/>
      <c r="O52" s="11">
        <v>417265.42</v>
      </c>
      <c r="P52" s="11"/>
      <c r="Q52" s="21">
        <f t="shared" si="0"/>
        <v>114625.13000000006</v>
      </c>
      <c r="R52" s="3">
        <f t="shared" si="11"/>
        <v>83453.084000000003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21">
        <f t="shared" si="1"/>
        <v>0</v>
      </c>
      <c r="AB52" s="21">
        <f t="shared" si="2"/>
        <v>83453.084000000003</v>
      </c>
      <c r="AC52" s="21">
        <f t="shared" si="3"/>
        <v>333812.33600000001</v>
      </c>
      <c r="AD52" s="21">
        <f t="shared" si="4"/>
        <v>448437.46600000007</v>
      </c>
      <c r="AE52" s="12" t="s">
        <v>154</v>
      </c>
    </row>
    <row r="53" spans="1:31" ht="31.2" x14ac:dyDescent="0.3">
      <c r="A53" s="12" t="s">
        <v>22</v>
      </c>
      <c r="B53" s="12">
        <v>2025</v>
      </c>
      <c r="C53" s="12" t="s">
        <v>160</v>
      </c>
      <c r="D53" s="12" t="s">
        <v>122</v>
      </c>
      <c r="E53" s="13">
        <v>16340</v>
      </c>
      <c r="F53" s="13" t="s">
        <v>53</v>
      </c>
      <c r="G53" s="1">
        <v>30</v>
      </c>
      <c r="H53" s="2" t="s">
        <v>24</v>
      </c>
      <c r="I53" s="2" t="s">
        <v>54</v>
      </c>
      <c r="J53" s="2"/>
      <c r="K53" s="6" t="s">
        <v>68</v>
      </c>
      <c r="L53" s="25">
        <v>147</v>
      </c>
      <c r="M53" s="3">
        <v>507529.15</v>
      </c>
      <c r="N53" s="3"/>
      <c r="O53" s="11">
        <v>488962.61</v>
      </c>
      <c r="P53" s="11"/>
      <c r="Q53" s="21">
        <f t="shared" si="0"/>
        <v>18566.540000000037</v>
      </c>
      <c r="R53" s="3">
        <f t="shared" si="11"/>
        <v>97792.521999999997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21">
        <f t="shared" si="1"/>
        <v>0</v>
      </c>
      <c r="AB53" s="21">
        <f t="shared" si="2"/>
        <v>97792.521999999997</v>
      </c>
      <c r="AC53" s="21">
        <f t="shared" si="3"/>
        <v>391170.08799999999</v>
      </c>
      <c r="AD53" s="21">
        <f t="shared" si="4"/>
        <v>409736.62800000003</v>
      </c>
      <c r="AE53" s="12" t="s">
        <v>154</v>
      </c>
    </row>
    <row r="54" spans="1:31" ht="31.2" x14ac:dyDescent="0.3">
      <c r="A54" s="12" t="s">
        <v>22</v>
      </c>
      <c r="B54" s="12">
        <v>2025</v>
      </c>
      <c r="C54" s="12" t="s">
        <v>160</v>
      </c>
      <c r="D54" s="12" t="s">
        <v>122</v>
      </c>
      <c r="E54" s="13">
        <v>16340</v>
      </c>
      <c r="F54" s="13" t="s">
        <v>53</v>
      </c>
      <c r="G54" s="1">
        <v>31</v>
      </c>
      <c r="H54" s="2" t="s">
        <v>24</v>
      </c>
      <c r="I54" s="2" t="s">
        <v>54</v>
      </c>
      <c r="J54" s="2"/>
      <c r="K54" s="6" t="s">
        <v>69</v>
      </c>
      <c r="L54" s="25">
        <v>42</v>
      </c>
      <c r="M54" s="3">
        <v>172559.91</v>
      </c>
      <c r="N54" s="3"/>
      <c r="O54" s="11">
        <v>200850.72</v>
      </c>
      <c r="P54" s="11"/>
      <c r="Q54" s="21">
        <f t="shared" si="0"/>
        <v>-28290.809999999998</v>
      </c>
      <c r="R54" s="3">
        <f t="shared" si="11"/>
        <v>40170.144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21">
        <f t="shared" si="1"/>
        <v>0</v>
      </c>
      <c r="AB54" s="21">
        <f t="shared" si="2"/>
        <v>40170.144</v>
      </c>
      <c r="AC54" s="21">
        <f t="shared" si="3"/>
        <v>160680.576</v>
      </c>
      <c r="AD54" s="21">
        <f t="shared" si="4"/>
        <v>132389.766</v>
      </c>
      <c r="AE54" s="12" t="s">
        <v>154</v>
      </c>
    </row>
    <row r="55" spans="1:31" ht="31.2" x14ac:dyDescent="0.3">
      <c r="A55" s="12" t="s">
        <v>22</v>
      </c>
      <c r="B55" s="12">
        <v>2025</v>
      </c>
      <c r="C55" s="12" t="s">
        <v>160</v>
      </c>
      <c r="D55" s="12" t="s">
        <v>122</v>
      </c>
      <c r="E55" s="13">
        <v>16340</v>
      </c>
      <c r="F55" s="13" t="s">
        <v>53</v>
      </c>
      <c r="G55" s="1">
        <v>32</v>
      </c>
      <c r="H55" s="2" t="s">
        <v>24</v>
      </c>
      <c r="I55" s="2" t="s">
        <v>54</v>
      </c>
      <c r="J55" s="2"/>
      <c r="K55" s="6" t="s">
        <v>70</v>
      </c>
      <c r="L55" s="25">
        <v>72</v>
      </c>
      <c r="M55" s="3">
        <v>324818.65999999997</v>
      </c>
      <c r="N55" s="3"/>
      <c r="O55" s="11">
        <v>315184.11</v>
      </c>
      <c r="P55" s="11"/>
      <c r="Q55" s="21">
        <f t="shared" si="0"/>
        <v>9634.5499999999884</v>
      </c>
      <c r="R55" s="3">
        <f t="shared" si="11"/>
        <v>63036.822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21">
        <f t="shared" si="1"/>
        <v>0</v>
      </c>
      <c r="AB55" s="21">
        <f t="shared" si="2"/>
        <v>63036.822</v>
      </c>
      <c r="AC55" s="21">
        <f t="shared" si="3"/>
        <v>252147.288</v>
      </c>
      <c r="AD55" s="21">
        <f t="shared" si="4"/>
        <v>261781.83799999999</v>
      </c>
      <c r="AE55" s="12" t="s">
        <v>154</v>
      </c>
    </row>
    <row r="56" spans="1:31" ht="31.2" x14ac:dyDescent="0.3">
      <c r="A56" s="12" t="s">
        <v>22</v>
      </c>
      <c r="B56" s="12">
        <v>2025</v>
      </c>
      <c r="C56" s="12" t="s">
        <v>160</v>
      </c>
      <c r="D56" s="12" t="s">
        <v>122</v>
      </c>
      <c r="E56" s="13">
        <v>16340</v>
      </c>
      <c r="F56" s="13" t="s">
        <v>53</v>
      </c>
      <c r="G56" s="1">
        <v>33</v>
      </c>
      <c r="H56" s="2" t="s">
        <v>24</v>
      </c>
      <c r="I56" s="2" t="s">
        <v>54</v>
      </c>
      <c r="J56" s="2"/>
      <c r="K56" s="6" t="s">
        <v>71</v>
      </c>
      <c r="L56" s="25">
        <v>105</v>
      </c>
      <c r="M56" s="3">
        <v>629336.15</v>
      </c>
      <c r="N56" s="3"/>
      <c r="O56" s="11">
        <v>518507.36</v>
      </c>
      <c r="P56" s="11"/>
      <c r="Q56" s="21">
        <f t="shared" si="0"/>
        <v>110828.79000000004</v>
      </c>
      <c r="R56" s="3">
        <f t="shared" si="11"/>
        <v>103701.47200000001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21">
        <f t="shared" si="1"/>
        <v>0</v>
      </c>
      <c r="AB56" s="21">
        <f t="shared" si="2"/>
        <v>103701.47200000001</v>
      </c>
      <c r="AC56" s="21">
        <f t="shared" si="3"/>
        <v>414805.88799999998</v>
      </c>
      <c r="AD56" s="21">
        <f t="shared" si="4"/>
        <v>525634.67800000007</v>
      </c>
      <c r="AE56" s="12" t="s">
        <v>154</v>
      </c>
    </row>
    <row r="57" spans="1:31" ht="15.6" x14ac:dyDescent="0.3">
      <c r="A57" s="12" t="s">
        <v>22</v>
      </c>
      <c r="B57" s="12">
        <v>2025</v>
      </c>
      <c r="C57" s="12" t="s">
        <v>160</v>
      </c>
      <c r="D57" s="12" t="s">
        <v>122</v>
      </c>
      <c r="E57" s="13">
        <v>16340</v>
      </c>
      <c r="F57" s="13" t="s">
        <v>53</v>
      </c>
      <c r="G57" s="1">
        <v>34</v>
      </c>
      <c r="H57" s="2" t="s">
        <v>24</v>
      </c>
      <c r="I57" s="2" t="s">
        <v>54</v>
      </c>
      <c r="J57" s="2"/>
      <c r="K57" s="2" t="s">
        <v>72</v>
      </c>
      <c r="L57" s="25">
        <v>45</v>
      </c>
      <c r="M57" s="3">
        <v>1627351.3515180494</v>
      </c>
      <c r="N57" s="3"/>
      <c r="O57" s="11">
        <v>1497413.99</v>
      </c>
      <c r="P57" s="11"/>
      <c r="Q57" s="21">
        <f t="shared" si="0"/>
        <v>129937.36151804938</v>
      </c>
      <c r="R57" s="3">
        <f t="shared" si="11"/>
        <v>299482.79800000001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21">
        <f t="shared" si="1"/>
        <v>0</v>
      </c>
      <c r="AB57" s="21">
        <f t="shared" si="2"/>
        <v>299482.79800000001</v>
      </c>
      <c r="AC57" s="21">
        <f t="shared" si="3"/>
        <v>1197931.192</v>
      </c>
      <c r="AD57" s="21">
        <f t="shared" si="4"/>
        <v>1327868.5535180494</v>
      </c>
      <c r="AE57" s="12" t="s">
        <v>154</v>
      </c>
    </row>
    <row r="58" spans="1:31" ht="15.6" x14ac:dyDescent="0.3">
      <c r="A58" s="12" t="s">
        <v>22</v>
      </c>
      <c r="B58" s="12">
        <v>2025</v>
      </c>
      <c r="C58" s="12" t="s">
        <v>160</v>
      </c>
      <c r="D58" s="12" t="s">
        <v>122</v>
      </c>
      <c r="E58" s="13">
        <v>16340</v>
      </c>
      <c r="F58" s="13" t="s">
        <v>53</v>
      </c>
      <c r="G58" s="1">
        <v>35</v>
      </c>
      <c r="H58" s="2" t="s">
        <v>24</v>
      </c>
      <c r="I58" s="2" t="s">
        <v>54</v>
      </c>
      <c r="J58" s="2"/>
      <c r="K58" s="2" t="s">
        <v>73</v>
      </c>
      <c r="L58" s="25">
        <v>102</v>
      </c>
      <c r="M58" s="3">
        <v>1072948.3634031347</v>
      </c>
      <c r="N58" s="3"/>
      <c r="O58" s="11">
        <v>1022677.26</v>
      </c>
      <c r="P58" s="11"/>
      <c r="Q58" s="21">
        <f t="shared" si="0"/>
        <v>50271.103403134737</v>
      </c>
      <c r="R58" s="3">
        <f t="shared" si="11"/>
        <v>204535.45200000002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21">
        <f t="shared" si="1"/>
        <v>0</v>
      </c>
      <c r="AB58" s="21">
        <f t="shared" si="2"/>
        <v>204535.45200000002</v>
      </c>
      <c r="AC58" s="21">
        <f t="shared" si="3"/>
        <v>818141.80799999996</v>
      </c>
      <c r="AD58" s="21">
        <f t="shared" si="4"/>
        <v>868412.9114031347</v>
      </c>
      <c r="AE58" s="12" t="s">
        <v>154</v>
      </c>
    </row>
    <row r="59" spans="1:31" ht="15.6" x14ac:dyDescent="0.3">
      <c r="A59" s="12" t="s">
        <v>22</v>
      </c>
      <c r="B59" s="12">
        <v>2025</v>
      </c>
      <c r="C59" s="12" t="s">
        <v>160</v>
      </c>
      <c r="D59" s="12" t="s">
        <v>122</v>
      </c>
      <c r="E59" s="13">
        <v>16340</v>
      </c>
      <c r="F59" s="13" t="s">
        <v>53</v>
      </c>
      <c r="G59" s="1">
        <v>36</v>
      </c>
      <c r="H59" s="2" t="s">
        <v>24</v>
      </c>
      <c r="I59" s="2" t="s">
        <v>54</v>
      </c>
      <c r="J59" s="2"/>
      <c r="K59" s="2" t="s">
        <v>74</v>
      </c>
      <c r="L59" s="25">
        <v>156</v>
      </c>
      <c r="M59" s="3">
        <v>1076598.1320566735</v>
      </c>
      <c r="N59" s="3"/>
      <c r="O59" s="11">
        <v>1055057.5</v>
      </c>
      <c r="P59" s="11"/>
      <c r="Q59" s="21">
        <f t="shared" si="0"/>
        <v>21540.632056673523</v>
      </c>
      <c r="R59" s="3">
        <f t="shared" si="11"/>
        <v>211011.5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21">
        <f t="shared" si="1"/>
        <v>0</v>
      </c>
      <c r="AB59" s="21">
        <f t="shared" si="2"/>
        <v>211011.5</v>
      </c>
      <c r="AC59" s="21">
        <f t="shared" si="3"/>
        <v>844046</v>
      </c>
      <c r="AD59" s="21">
        <f t="shared" si="4"/>
        <v>865586.63205667352</v>
      </c>
      <c r="AE59" s="12" t="s">
        <v>154</v>
      </c>
    </row>
    <row r="60" spans="1:31" ht="15.6" x14ac:dyDescent="0.3">
      <c r="A60" s="12" t="s">
        <v>22</v>
      </c>
      <c r="B60" s="12">
        <v>2025</v>
      </c>
      <c r="C60" s="12" t="s">
        <v>160</v>
      </c>
      <c r="D60" s="12" t="s">
        <v>122</v>
      </c>
      <c r="E60" s="13">
        <v>16340</v>
      </c>
      <c r="F60" s="13" t="s">
        <v>53</v>
      </c>
      <c r="G60" s="1">
        <v>37</v>
      </c>
      <c r="H60" s="2" t="s">
        <v>24</v>
      </c>
      <c r="I60" s="2" t="s">
        <v>54</v>
      </c>
      <c r="J60" s="2"/>
      <c r="K60" s="2" t="s">
        <v>163</v>
      </c>
      <c r="L60" s="25">
        <v>72</v>
      </c>
      <c r="M60" s="3">
        <v>834714.98173539888</v>
      </c>
      <c r="N60" s="3"/>
      <c r="O60" s="11">
        <v>855470.4</v>
      </c>
      <c r="P60" s="11"/>
      <c r="Q60" s="21">
        <f t="shared" si="0"/>
        <v>-20755.418264601147</v>
      </c>
      <c r="R60" s="3">
        <f t="shared" si="11"/>
        <v>171094.08000000002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21">
        <f t="shared" si="1"/>
        <v>0</v>
      </c>
      <c r="AB60" s="21">
        <f t="shared" si="2"/>
        <v>171094.08000000002</v>
      </c>
      <c r="AC60" s="21">
        <f t="shared" si="3"/>
        <v>684376.32000000007</v>
      </c>
      <c r="AD60" s="21">
        <f t="shared" si="4"/>
        <v>663620.90173539892</v>
      </c>
      <c r="AE60" s="12" t="s">
        <v>154</v>
      </c>
    </row>
    <row r="61" spans="1:31" ht="31.2" x14ac:dyDescent="0.3">
      <c r="A61" s="12" t="s">
        <v>36</v>
      </c>
      <c r="B61" s="12">
        <v>2025</v>
      </c>
      <c r="C61" s="12" t="s">
        <v>160</v>
      </c>
      <c r="D61" s="12" t="s">
        <v>37</v>
      </c>
      <c r="E61" s="1">
        <v>16879</v>
      </c>
      <c r="F61" s="13" t="s">
        <v>53</v>
      </c>
      <c r="G61" s="1">
        <v>10</v>
      </c>
      <c r="H61" s="4" t="s">
        <v>39</v>
      </c>
      <c r="I61" s="2" t="s">
        <v>54</v>
      </c>
      <c r="J61" s="2"/>
      <c r="K61" s="4" t="s">
        <v>75</v>
      </c>
      <c r="L61" s="25">
        <v>45</v>
      </c>
      <c r="M61" s="3">
        <v>2977703.4487980008</v>
      </c>
      <c r="N61" s="3"/>
      <c r="O61" s="11">
        <v>2820458.25</v>
      </c>
      <c r="P61" s="11"/>
      <c r="Q61" s="21">
        <f t="shared" si="0"/>
        <v>157245.19879800081</v>
      </c>
      <c r="R61" s="3">
        <f t="shared" si="11"/>
        <v>564091.65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21">
        <f t="shared" si="1"/>
        <v>0</v>
      </c>
      <c r="AB61" s="21">
        <f t="shared" si="2"/>
        <v>564091.65</v>
      </c>
      <c r="AC61" s="21">
        <f t="shared" si="3"/>
        <v>2256366.6</v>
      </c>
      <c r="AD61" s="21">
        <f t="shared" si="4"/>
        <v>2413611.7987980009</v>
      </c>
      <c r="AE61" s="12" t="s">
        <v>154</v>
      </c>
    </row>
    <row r="62" spans="1:31" ht="31.2" x14ac:dyDescent="0.3">
      <c r="A62" s="12" t="s">
        <v>36</v>
      </c>
      <c r="B62" s="12">
        <v>2025</v>
      </c>
      <c r="C62" s="12" t="s">
        <v>160</v>
      </c>
      <c r="D62" s="12" t="s">
        <v>37</v>
      </c>
      <c r="E62" s="1">
        <v>16879</v>
      </c>
      <c r="F62" s="13" t="s">
        <v>53</v>
      </c>
      <c r="G62" s="1">
        <v>11</v>
      </c>
      <c r="H62" s="4" t="s">
        <v>39</v>
      </c>
      <c r="I62" s="2" t="s">
        <v>54</v>
      </c>
      <c r="J62" s="2"/>
      <c r="K62" s="4" t="s">
        <v>76</v>
      </c>
      <c r="L62" s="25">
        <v>102</v>
      </c>
      <c r="M62" s="3">
        <v>2977703.4487980008</v>
      </c>
      <c r="N62" s="3"/>
      <c r="O62" s="11">
        <v>2860148.26</v>
      </c>
      <c r="P62" s="11"/>
      <c r="Q62" s="21">
        <f t="shared" si="0"/>
        <v>117555.18879800104</v>
      </c>
      <c r="R62" s="3">
        <f t="shared" si="11"/>
        <v>572029.652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21">
        <f t="shared" si="1"/>
        <v>0</v>
      </c>
      <c r="AB62" s="21">
        <f t="shared" si="2"/>
        <v>572029.652</v>
      </c>
      <c r="AC62" s="21">
        <f t="shared" si="3"/>
        <v>2288118.608</v>
      </c>
      <c r="AD62" s="21">
        <f t="shared" si="4"/>
        <v>2405673.796798001</v>
      </c>
      <c r="AE62" s="12" t="s">
        <v>154</v>
      </c>
    </row>
    <row r="63" spans="1:31" ht="15.6" x14ac:dyDescent="0.3">
      <c r="A63" s="12" t="s">
        <v>36</v>
      </c>
      <c r="B63" s="12">
        <v>2025</v>
      </c>
      <c r="C63" s="12" t="s">
        <v>160</v>
      </c>
      <c r="D63" s="12" t="s">
        <v>37</v>
      </c>
      <c r="E63" s="1">
        <v>16879</v>
      </c>
      <c r="F63" s="13" t="s">
        <v>53</v>
      </c>
      <c r="G63" s="1">
        <v>12</v>
      </c>
      <c r="H63" s="4" t="s">
        <v>39</v>
      </c>
      <c r="I63" s="2" t="s">
        <v>54</v>
      </c>
      <c r="J63" s="2"/>
      <c r="K63" s="4" t="s">
        <v>163</v>
      </c>
      <c r="L63" s="25">
        <v>72</v>
      </c>
      <c r="M63" s="3">
        <v>3256812.1987980008</v>
      </c>
      <c r="N63" s="3"/>
      <c r="O63" s="11">
        <v>2980230.26</v>
      </c>
      <c r="P63" s="11"/>
      <c r="Q63" s="21">
        <f t="shared" si="0"/>
        <v>276581.93879800104</v>
      </c>
      <c r="R63" s="3">
        <f t="shared" si="11"/>
        <v>596046.05200000003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21">
        <f t="shared" si="1"/>
        <v>0</v>
      </c>
      <c r="AB63" s="21">
        <f t="shared" si="2"/>
        <v>596046.05200000003</v>
      </c>
      <c r="AC63" s="21">
        <f t="shared" si="3"/>
        <v>2384184.2079999996</v>
      </c>
      <c r="AD63" s="21">
        <f t="shared" si="4"/>
        <v>2660766.1467980007</v>
      </c>
      <c r="AE63" s="12" t="s">
        <v>154</v>
      </c>
    </row>
    <row r="64" spans="1:31" ht="31.2" x14ac:dyDescent="0.3">
      <c r="A64" s="12" t="s">
        <v>36</v>
      </c>
      <c r="B64" s="12">
        <v>2025</v>
      </c>
      <c r="C64" s="12" t="s">
        <v>160</v>
      </c>
      <c r="D64" s="12" t="s">
        <v>37</v>
      </c>
      <c r="E64" s="1">
        <v>16879</v>
      </c>
      <c r="F64" s="13" t="s">
        <v>53</v>
      </c>
      <c r="G64" s="1">
        <v>13</v>
      </c>
      <c r="H64" s="4" t="s">
        <v>39</v>
      </c>
      <c r="I64" s="2" t="s">
        <v>54</v>
      </c>
      <c r="J64" s="2"/>
      <c r="K64" s="4" t="s">
        <v>77</v>
      </c>
      <c r="L64" s="25">
        <v>180</v>
      </c>
      <c r="M64" s="3">
        <v>3446792.1987980008</v>
      </c>
      <c r="N64" s="3"/>
      <c r="O64" s="11">
        <v>3102360.26</v>
      </c>
      <c r="P64" s="11"/>
      <c r="Q64" s="21">
        <f t="shared" si="0"/>
        <v>344431.93879800104</v>
      </c>
      <c r="R64" s="3">
        <f t="shared" si="11"/>
        <v>620472.05200000003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21">
        <f t="shared" si="1"/>
        <v>0</v>
      </c>
      <c r="AB64" s="21">
        <f t="shared" si="2"/>
        <v>620472.05200000003</v>
      </c>
      <c r="AC64" s="21">
        <f t="shared" si="3"/>
        <v>2481888.2079999996</v>
      </c>
      <c r="AD64" s="21">
        <f t="shared" si="4"/>
        <v>2826320.1467980007</v>
      </c>
      <c r="AE64" s="12" t="s">
        <v>154</v>
      </c>
    </row>
    <row r="65" spans="1:31" ht="15.6" x14ac:dyDescent="0.3">
      <c r="A65" s="12" t="s">
        <v>36</v>
      </c>
      <c r="B65" s="12">
        <v>2025</v>
      </c>
      <c r="C65" s="12" t="s">
        <v>160</v>
      </c>
      <c r="D65" s="12" t="s">
        <v>37</v>
      </c>
      <c r="E65" s="1">
        <v>16879</v>
      </c>
      <c r="F65" s="13" t="s">
        <v>53</v>
      </c>
      <c r="G65" s="1">
        <v>14</v>
      </c>
      <c r="H65" s="4" t="s">
        <v>39</v>
      </c>
      <c r="I65" s="2" t="s">
        <v>54</v>
      </c>
      <c r="J65" s="2"/>
      <c r="K65" s="4" t="s">
        <v>72</v>
      </c>
      <c r="L65" s="25">
        <v>150</v>
      </c>
      <c r="M65" s="3">
        <v>2977703.4487980008</v>
      </c>
      <c r="N65" s="3"/>
      <c r="O65" s="11">
        <v>2820458.26</v>
      </c>
      <c r="P65" s="11"/>
      <c r="Q65" s="21">
        <f t="shared" si="0"/>
        <v>157245.18879800104</v>
      </c>
      <c r="R65" s="3">
        <f t="shared" si="11"/>
        <v>564091.652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21">
        <f t="shared" si="1"/>
        <v>0</v>
      </c>
      <c r="AB65" s="21">
        <f t="shared" si="2"/>
        <v>564091.652</v>
      </c>
      <c r="AC65" s="21">
        <f t="shared" si="3"/>
        <v>2256366.608</v>
      </c>
      <c r="AD65" s="21">
        <f t="shared" si="4"/>
        <v>2413611.796798001</v>
      </c>
      <c r="AE65" s="12" t="s">
        <v>154</v>
      </c>
    </row>
    <row r="66" spans="1:31" ht="31.2" x14ac:dyDescent="0.3">
      <c r="A66" s="12" t="s">
        <v>22</v>
      </c>
      <c r="B66" s="12">
        <v>2025</v>
      </c>
      <c r="C66" s="12" t="s">
        <v>160</v>
      </c>
      <c r="D66" s="12" t="s">
        <v>122</v>
      </c>
      <c r="E66" s="13">
        <v>16340</v>
      </c>
      <c r="F66" s="13" t="s">
        <v>78</v>
      </c>
      <c r="G66" s="1">
        <v>38</v>
      </c>
      <c r="H66" s="2" t="s">
        <v>24</v>
      </c>
      <c r="I66" s="2" t="s">
        <v>79</v>
      </c>
      <c r="J66" s="2"/>
      <c r="K66" s="4" t="s">
        <v>80</v>
      </c>
      <c r="L66" s="25">
        <v>78</v>
      </c>
      <c r="M66" s="3">
        <v>477077.4</v>
      </c>
      <c r="N66" s="3"/>
      <c r="O66" s="11">
        <v>406995.03</v>
      </c>
      <c r="P66" s="11"/>
      <c r="Q66" s="21">
        <f t="shared" si="0"/>
        <v>70082.37</v>
      </c>
      <c r="R66" s="3">
        <f t="shared" si="11"/>
        <v>81399.006000000008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21">
        <f t="shared" si="1"/>
        <v>0</v>
      </c>
      <c r="AB66" s="21">
        <f t="shared" si="2"/>
        <v>81399.006000000008</v>
      </c>
      <c r="AC66" s="21">
        <f t="shared" si="3"/>
        <v>325596.02400000003</v>
      </c>
      <c r="AD66" s="21">
        <f t="shared" si="4"/>
        <v>395678.39400000003</v>
      </c>
      <c r="AE66" s="12" t="s">
        <v>154</v>
      </c>
    </row>
    <row r="67" spans="1:31" ht="15.6" x14ac:dyDescent="0.3">
      <c r="A67" s="12" t="s">
        <v>36</v>
      </c>
      <c r="B67" s="12">
        <v>2025</v>
      </c>
      <c r="C67" s="12" t="s">
        <v>160</v>
      </c>
      <c r="D67" s="12" t="s">
        <v>37</v>
      </c>
      <c r="E67" s="1">
        <v>16879</v>
      </c>
      <c r="F67" s="1" t="s">
        <v>78</v>
      </c>
      <c r="G67" s="1">
        <v>15</v>
      </c>
      <c r="H67" s="5" t="s">
        <v>38</v>
      </c>
      <c r="I67" s="2" t="s">
        <v>79</v>
      </c>
      <c r="J67" s="2"/>
      <c r="K67" s="5" t="s">
        <v>81</v>
      </c>
      <c r="L67" s="25">
        <v>450</v>
      </c>
      <c r="M67" s="3">
        <v>3066832.1987980008</v>
      </c>
      <c r="N67" s="3"/>
      <c r="O67" s="11">
        <v>2826004.25</v>
      </c>
      <c r="P67" s="11"/>
      <c r="Q67" s="21">
        <f t="shared" ref="Q67:Q100" si="12">M67-O67</f>
        <v>240827.94879800081</v>
      </c>
      <c r="R67" s="3">
        <f t="shared" si="11"/>
        <v>565200.85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21">
        <f t="shared" ref="AA67:AA100" si="13">SUM(S67:Z67)</f>
        <v>0</v>
      </c>
      <c r="AB67" s="21">
        <f t="shared" ref="AB67:AB99" si="14">AA67+R67</f>
        <v>565200.85</v>
      </c>
      <c r="AC67" s="21">
        <f t="shared" ref="AC67:AC100" si="15">O67-AB67</f>
        <v>2260803.4</v>
      </c>
      <c r="AD67" s="21">
        <f t="shared" ref="AD67:AD100" si="16">Q67+AC67</f>
        <v>2501631.3487980007</v>
      </c>
      <c r="AE67" s="12" t="s">
        <v>154</v>
      </c>
    </row>
    <row r="68" spans="1:31" ht="15.6" x14ac:dyDescent="0.3">
      <c r="A68" s="12" t="s">
        <v>36</v>
      </c>
      <c r="B68" s="12">
        <v>2025</v>
      </c>
      <c r="C68" s="12" t="s">
        <v>160</v>
      </c>
      <c r="D68" s="12" t="s">
        <v>37</v>
      </c>
      <c r="E68" s="1">
        <v>16879</v>
      </c>
      <c r="F68" s="1" t="s">
        <v>78</v>
      </c>
      <c r="G68" s="1">
        <v>16</v>
      </c>
      <c r="H68" s="5" t="s">
        <v>39</v>
      </c>
      <c r="I68" s="2" t="s">
        <v>79</v>
      </c>
      <c r="J68" s="2"/>
      <c r="K68" s="5" t="s">
        <v>82</v>
      </c>
      <c r="L68" s="25">
        <v>450</v>
      </c>
      <c r="M68" s="3">
        <v>2977703.4487980008</v>
      </c>
      <c r="N68" s="3"/>
      <c r="O68" s="11">
        <v>2756148.26</v>
      </c>
      <c r="P68" s="11"/>
      <c r="Q68" s="21">
        <f t="shared" si="12"/>
        <v>221555.18879800104</v>
      </c>
      <c r="R68" s="3">
        <f t="shared" si="11"/>
        <v>551229.652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21">
        <f t="shared" si="13"/>
        <v>0</v>
      </c>
      <c r="AB68" s="21">
        <f t="shared" si="14"/>
        <v>551229.652</v>
      </c>
      <c r="AC68" s="21">
        <f t="shared" si="15"/>
        <v>2204918.608</v>
      </c>
      <c r="AD68" s="21">
        <f t="shared" si="16"/>
        <v>2426473.796798001</v>
      </c>
      <c r="AE68" s="12" t="s">
        <v>154</v>
      </c>
    </row>
    <row r="69" spans="1:31" ht="31.2" x14ac:dyDescent="0.3">
      <c r="A69" s="12" t="s">
        <v>22</v>
      </c>
      <c r="B69" s="12">
        <v>2025</v>
      </c>
      <c r="C69" s="12" t="s">
        <v>160</v>
      </c>
      <c r="D69" s="12" t="s">
        <v>122</v>
      </c>
      <c r="E69" s="13">
        <v>16340</v>
      </c>
      <c r="F69" s="13" t="s">
        <v>83</v>
      </c>
      <c r="G69" s="1">
        <v>39</v>
      </c>
      <c r="H69" s="2" t="s">
        <v>24</v>
      </c>
      <c r="I69" s="2" t="s">
        <v>84</v>
      </c>
      <c r="J69" s="2"/>
      <c r="K69" s="4" t="s">
        <v>85</v>
      </c>
      <c r="L69" s="25">
        <v>75</v>
      </c>
      <c r="M69" s="3">
        <v>203011.66</v>
      </c>
      <c r="N69" s="3"/>
      <c r="O69" s="11">
        <v>249051.6</v>
      </c>
      <c r="P69" s="11"/>
      <c r="Q69" s="21">
        <f t="shared" si="12"/>
        <v>-46039.94</v>
      </c>
      <c r="R69" s="3">
        <f t="shared" si="11"/>
        <v>49810.320000000007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21">
        <f t="shared" si="13"/>
        <v>0</v>
      </c>
      <c r="AB69" s="21">
        <f t="shared" si="14"/>
        <v>49810.320000000007</v>
      </c>
      <c r="AC69" s="21">
        <f t="shared" si="15"/>
        <v>199241.28</v>
      </c>
      <c r="AD69" s="21">
        <f t="shared" si="16"/>
        <v>153201.34</v>
      </c>
      <c r="AE69" s="12" t="s">
        <v>154</v>
      </c>
    </row>
    <row r="70" spans="1:31" ht="31.2" x14ac:dyDescent="0.3">
      <c r="A70" s="12" t="s">
        <v>22</v>
      </c>
      <c r="B70" s="12">
        <v>2025</v>
      </c>
      <c r="C70" s="12" t="s">
        <v>160</v>
      </c>
      <c r="D70" s="12" t="s">
        <v>122</v>
      </c>
      <c r="E70" s="13">
        <v>16340</v>
      </c>
      <c r="F70" s="13" t="s">
        <v>83</v>
      </c>
      <c r="G70" s="1">
        <v>40</v>
      </c>
      <c r="H70" s="2" t="s">
        <v>24</v>
      </c>
      <c r="I70" s="2" t="s">
        <v>84</v>
      </c>
      <c r="J70" s="2"/>
      <c r="K70" s="4" t="s">
        <v>86</v>
      </c>
      <c r="L70" s="25">
        <v>48</v>
      </c>
      <c r="M70" s="3">
        <v>152258.75</v>
      </c>
      <c r="N70" s="3"/>
      <c r="O70" s="11">
        <v>194994.46</v>
      </c>
      <c r="P70" s="11"/>
      <c r="Q70" s="21">
        <f t="shared" si="12"/>
        <v>-42735.709999999992</v>
      </c>
      <c r="R70" s="3">
        <f t="shared" si="11"/>
        <v>38998.892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21">
        <f t="shared" si="13"/>
        <v>0</v>
      </c>
      <c r="AB70" s="21">
        <f t="shared" si="14"/>
        <v>38998.892</v>
      </c>
      <c r="AC70" s="21">
        <f t="shared" si="15"/>
        <v>155995.568</v>
      </c>
      <c r="AD70" s="21">
        <f t="shared" si="16"/>
        <v>113259.85800000001</v>
      </c>
      <c r="AE70" s="12" t="s">
        <v>154</v>
      </c>
    </row>
    <row r="71" spans="1:31" ht="31.2" x14ac:dyDescent="0.3">
      <c r="A71" s="12" t="s">
        <v>22</v>
      </c>
      <c r="B71" s="12">
        <v>2025</v>
      </c>
      <c r="C71" s="12" t="s">
        <v>160</v>
      </c>
      <c r="D71" s="12" t="s">
        <v>122</v>
      </c>
      <c r="E71" s="13">
        <v>16340</v>
      </c>
      <c r="F71" s="13" t="s">
        <v>83</v>
      </c>
      <c r="G71" s="1">
        <v>41</v>
      </c>
      <c r="H71" s="2" t="s">
        <v>24</v>
      </c>
      <c r="I71" s="2" t="s">
        <v>84</v>
      </c>
      <c r="J71" s="2"/>
      <c r="K71" s="4" t="s">
        <v>87</v>
      </c>
      <c r="L71" s="25">
        <v>57</v>
      </c>
      <c r="M71" s="3">
        <v>314668.07</v>
      </c>
      <c r="N71" s="3"/>
      <c r="O71" s="11">
        <v>295365.96000000002</v>
      </c>
      <c r="P71" s="11"/>
      <c r="Q71" s="21">
        <f t="shared" si="12"/>
        <v>19302.109999999986</v>
      </c>
      <c r="R71" s="3">
        <f t="shared" si="11"/>
        <v>59073.19200000001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21">
        <f t="shared" si="13"/>
        <v>0</v>
      </c>
      <c r="AB71" s="21">
        <f t="shared" si="14"/>
        <v>59073.19200000001</v>
      </c>
      <c r="AC71" s="21">
        <f t="shared" si="15"/>
        <v>236292.76800000001</v>
      </c>
      <c r="AD71" s="21">
        <f t="shared" si="16"/>
        <v>255594.878</v>
      </c>
      <c r="AE71" s="12" t="s">
        <v>154</v>
      </c>
    </row>
    <row r="72" spans="1:31" ht="15.6" x14ac:dyDescent="0.3">
      <c r="A72" s="12" t="s">
        <v>36</v>
      </c>
      <c r="B72" s="12">
        <v>2025</v>
      </c>
      <c r="C72" s="12" t="s">
        <v>160</v>
      </c>
      <c r="D72" s="12" t="s">
        <v>37</v>
      </c>
      <c r="E72" s="1">
        <v>16879</v>
      </c>
      <c r="F72" s="1" t="s">
        <v>83</v>
      </c>
      <c r="G72" s="1">
        <v>17</v>
      </c>
      <c r="H72" s="5" t="s">
        <v>39</v>
      </c>
      <c r="I72" s="2" t="s">
        <v>84</v>
      </c>
      <c r="J72" s="2"/>
      <c r="K72" s="5" t="s">
        <v>88</v>
      </c>
      <c r="L72" s="25">
        <v>600</v>
      </c>
      <c r="M72" s="3">
        <v>3446792.1987980008</v>
      </c>
      <c r="N72" s="3"/>
      <c r="O72" s="11">
        <v>3102360.26</v>
      </c>
      <c r="P72" s="11"/>
      <c r="Q72" s="21">
        <f t="shared" si="12"/>
        <v>344431.93879800104</v>
      </c>
      <c r="R72" s="3">
        <f t="shared" si="11"/>
        <v>620472.05200000003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21">
        <f t="shared" si="13"/>
        <v>0</v>
      </c>
      <c r="AB72" s="21">
        <f t="shared" si="14"/>
        <v>620472.05200000003</v>
      </c>
      <c r="AC72" s="21">
        <f t="shared" si="15"/>
        <v>2481888.2079999996</v>
      </c>
      <c r="AD72" s="21">
        <f t="shared" si="16"/>
        <v>2826320.1467980007</v>
      </c>
      <c r="AE72" s="12" t="s">
        <v>154</v>
      </c>
    </row>
    <row r="73" spans="1:31" ht="31.2" x14ac:dyDescent="0.3">
      <c r="A73" s="12" t="s">
        <v>22</v>
      </c>
      <c r="B73" s="12">
        <v>2025</v>
      </c>
      <c r="C73" s="12" t="s">
        <v>160</v>
      </c>
      <c r="D73" s="12" t="s">
        <v>122</v>
      </c>
      <c r="E73" s="13">
        <v>16340</v>
      </c>
      <c r="F73" s="13" t="s">
        <v>89</v>
      </c>
      <c r="G73" s="1">
        <v>42</v>
      </c>
      <c r="H73" s="2" t="s">
        <v>24</v>
      </c>
      <c r="I73" s="2" t="s">
        <v>90</v>
      </c>
      <c r="J73" s="2"/>
      <c r="K73" s="6" t="s">
        <v>91</v>
      </c>
      <c r="L73" s="25">
        <v>108</v>
      </c>
      <c r="M73" s="3">
        <v>507529.15</v>
      </c>
      <c r="N73" s="3"/>
      <c r="O73" s="11">
        <v>452375.51</v>
      </c>
      <c r="P73" s="11"/>
      <c r="Q73" s="21">
        <f t="shared" si="12"/>
        <v>55153.640000000014</v>
      </c>
      <c r="R73" s="3">
        <f t="shared" si="11"/>
        <v>90475.102000000014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21">
        <f t="shared" si="13"/>
        <v>0</v>
      </c>
      <c r="AB73" s="21">
        <f t="shared" si="14"/>
        <v>90475.102000000014</v>
      </c>
      <c r="AC73" s="21">
        <f t="shared" si="15"/>
        <v>361900.408</v>
      </c>
      <c r="AD73" s="21">
        <f t="shared" si="16"/>
        <v>417054.04800000001</v>
      </c>
      <c r="AE73" s="12" t="s">
        <v>154</v>
      </c>
    </row>
    <row r="74" spans="1:31" ht="15.6" x14ac:dyDescent="0.3">
      <c r="A74" s="12" t="s">
        <v>36</v>
      </c>
      <c r="B74" s="12">
        <v>2025</v>
      </c>
      <c r="C74" s="12" t="s">
        <v>160</v>
      </c>
      <c r="D74" s="12" t="s">
        <v>37</v>
      </c>
      <c r="E74" s="1">
        <v>16879</v>
      </c>
      <c r="F74" s="1" t="s">
        <v>92</v>
      </c>
      <c r="G74" s="1">
        <v>18</v>
      </c>
      <c r="H74" s="5" t="s">
        <v>39</v>
      </c>
      <c r="I74" s="5" t="s">
        <v>54</v>
      </c>
      <c r="J74" s="5"/>
      <c r="K74" s="5" t="s">
        <v>94</v>
      </c>
      <c r="L74" s="25">
        <v>600</v>
      </c>
      <c r="M74" s="3">
        <v>3446792.1987980008</v>
      </c>
      <c r="N74" s="3"/>
      <c r="O74" s="11">
        <v>3102360.26</v>
      </c>
      <c r="P74" s="11"/>
      <c r="Q74" s="21">
        <f t="shared" si="12"/>
        <v>344431.93879800104</v>
      </c>
      <c r="R74" s="3">
        <f t="shared" si="11"/>
        <v>620472.05200000003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21">
        <f t="shared" si="13"/>
        <v>0</v>
      </c>
      <c r="AB74" s="21">
        <f t="shared" si="14"/>
        <v>620472.05200000003</v>
      </c>
      <c r="AC74" s="21">
        <f t="shared" si="15"/>
        <v>2481888.2079999996</v>
      </c>
      <c r="AD74" s="21">
        <f t="shared" si="16"/>
        <v>2826320.1467980007</v>
      </c>
      <c r="AE74" s="12" t="s">
        <v>154</v>
      </c>
    </row>
    <row r="75" spans="1:31" ht="15.6" x14ac:dyDescent="0.3">
      <c r="A75" s="12" t="s">
        <v>36</v>
      </c>
      <c r="B75" s="12">
        <v>2025</v>
      </c>
      <c r="C75" s="12" t="s">
        <v>160</v>
      </c>
      <c r="D75" s="12" t="s">
        <v>37</v>
      </c>
      <c r="E75" s="1">
        <v>16879</v>
      </c>
      <c r="F75" s="1" t="s">
        <v>95</v>
      </c>
      <c r="G75" s="1">
        <v>19</v>
      </c>
      <c r="H75" s="5" t="s">
        <v>39</v>
      </c>
      <c r="I75" s="5" t="s">
        <v>96</v>
      </c>
      <c r="J75" s="5"/>
      <c r="K75" s="5" t="s">
        <v>97</v>
      </c>
      <c r="L75" s="25">
        <v>600</v>
      </c>
      <c r="M75" s="23">
        <v>3419652.1987980008</v>
      </c>
      <c r="N75" s="23"/>
      <c r="O75" s="11">
        <v>3077688.26</v>
      </c>
      <c r="P75" s="11"/>
      <c r="Q75" s="21">
        <f t="shared" si="12"/>
        <v>341963.93879800104</v>
      </c>
      <c r="R75" s="3">
        <f t="shared" si="11"/>
        <v>615537.652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21">
        <f t="shared" si="13"/>
        <v>0</v>
      </c>
      <c r="AB75" s="21">
        <f t="shared" si="14"/>
        <v>615537.652</v>
      </c>
      <c r="AC75" s="21">
        <f t="shared" si="15"/>
        <v>2462150.608</v>
      </c>
      <c r="AD75" s="21">
        <f t="shared" si="16"/>
        <v>2804114.546798001</v>
      </c>
      <c r="AE75" s="12" t="s">
        <v>154</v>
      </c>
    </row>
    <row r="76" spans="1:31" ht="15.6" x14ac:dyDescent="0.3">
      <c r="A76" s="12" t="s">
        <v>145</v>
      </c>
      <c r="B76" s="12">
        <v>2024</v>
      </c>
      <c r="C76" s="12" t="s">
        <v>160</v>
      </c>
      <c r="D76" s="12" t="s">
        <v>122</v>
      </c>
      <c r="E76" s="1">
        <v>16340</v>
      </c>
      <c r="F76" s="1" t="s">
        <v>157</v>
      </c>
      <c r="G76" s="1">
        <v>1</v>
      </c>
      <c r="H76" s="12" t="s">
        <v>146</v>
      </c>
      <c r="I76" s="2" t="s">
        <v>54</v>
      </c>
      <c r="J76" s="2"/>
      <c r="K76" s="5" t="s">
        <v>54</v>
      </c>
      <c r="L76" s="20">
        <v>36795</v>
      </c>
      <c r="M76" s="21">
        <v>37331677.700000003</v>
      </c>
      <c r="N76" s="21"/>
      <c r="O76" s="21">
        <v>34401994.729999997</v>
      </c>
      <c r="P76" s="21"/>
      <c r="Q76" s="21">
        <f t="shared" si="12"/>
        <v>2929682.9700000063</v>
      </c>
      <c r="R76" s="21">
        <v>6880398.9459999995</v>
      </c>
      <c r="S76" s="21">
        <v>5058423.3</v>
      </c>
      <c r="T76" s="21">
        <v>11634599.060000001</v>
      </c>
      <c r="U76" s="21">
        <v>3493695.05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f t="shared" si="13"/>
        <v>20186717.41</v>
      </c>
      <c r="AB76" s="21">
        <f t="shared" si="14"/>
        <v>27067116.355999999</v>
      </c>
      <c r="AC76" s="21">
        <f t="shared" si="15"/>
        <v>7334878.373999998</v>
      </c>
      <c r="AD76" s="21">
        <f t="shared" si="16"/>
        <v>10264561.344000004</v>
      </c>
      <c r="AE76" s="12" t="s">
        <v>151</v>
      </c>
    </row>
    <row r="77" spans="1:31" ht="15.6" x14ac:dyDescent="0.3">
      <c r="A77" s="12" t="s">
        <v>147</v>
      </c>
      <c r="B77" s="12">
        <v>2024</v>
      </c>
      <c r="C77" s="12" t="s">
        <v>160</v>
      </c>
      <c r="D77" s="12" t="s">
        <v>148</v>
      </c>
      <c r="E77" s="1">
        <v>16844</v>
      </c>
      <c r="F77" s="1" t="s">
        <v>23</v>
      </c>
      <c r="G77" s="1">
        <v>1</v>
      </c>
      <c r="H77" s="12" t="s">
        <v>149</v>
      </c>
      <c r="I77" s="2" t="s">
        <v>54</v>
      </c>
      <c r="J77" s="2"/>
      <c r="K77" s="5" t="s">
        <v>93</v>
      </c>
      <c r="L77" s="20">
        <v>11343</v>
      </c>
      <c r="M77" s="21">
        <v>7384540.5599999996</v>
      </c>
      <c r="N77" s="21"/>
      <c r="O77" s="21">
        <v>5907633.6200000001</v>
      </c>
      <c r="P77" s="21"/>
      <c r="Q77" s="21">
        <f t="shared" si="12"/>
        <v>1476906.9399999995</v>
      </c>
      <c r="R77" s="21">
        <v>1181526.7240000002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f t="shared" si="13"/>
        <v>0</v>
      </c>
      <c r="AB77" s="21">
        <f t="shared" si="14"/>
        <v>1181526.7240000002</v>
      </c>
      <c r="AC77" s="21">
        <f t="shared" si="15"/>
        <v>4726106.8959999997</v>
      </c>
      <c r="AD77" s="21">
        <f t="shared" si="16"/>
        <v>6203013.8359999992</v>
      </c>
      <c r="AE77" s="12" t="s">
        <v>150</v>
      </c>
    </row>
    <row r="78" spans="1:31" ht="15.6" x14ac:dyDescent="0.3">
      <c r="A78" s="12" t="s">
        <v>147</v>
      </c>
      <c r="B78" s="12">
        <v>2024</v>
      </c>
      <c r="C78" s="12" t="s">
        <v>160</v>
      </c>
      <c r="D78" s="12" t="s">
        <v>148</v>
      </c>
      <c r="E78" s="1">
        <v>16844</v>
      </c>
      <c r="F78" s="1" t="s">
        <v>42</v>
      </c>
      <c r="G78" s="1">
        <v>2</v>
      </c>
      <c r="H78" s="12" t="s">
        <v>149</v>
      </c>
      <c r="I78" s="2" t="s">
        <v>107</v>
      </c>
      <c r="J78" s="2"/>
      <c r="K78" s="5" t="s">
        <v>99</v>
      </c>
      <c r="L78" s="20">
        <v>18173</v>
      </c>
      <c r="M78" s="21">
        <v>9634540.5600000005</v>
      </c>
      <c r="N78" s="21"/>
      <c r="O78" s="21">
        <v>6407477.5800000001</v>
      </c>
      <c r="P78" s="21"/>
      <c r="Q78" s="21">
        <f t="shared" si="12"/>
        <v>3227062.9800000004</v>
      </c>
      <c r="R78" s="21">
        <v>1541495.5160000001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f t="shared" si="13"/>
        <v>0</v>
      </c>
      <c r="AB78" s="21">
        <f t="shared" si="14"/>
        <v>1541495.5160000001</v>
      </c>
      <c r="AC78" s="21">
        <f t="shared" si="15"/>
        <v>4865982.0640000002</v>
      </c>
      <c r="AD78" s="21">
        <f t="shared" si="16"/>
        <v>8093045.0440000007</v>
      </c>
      <c r="AE78" s="12" t="s">
        <v>152</v>
      </c>
    </row>
    <row r="79" spans="1:31" ht="15.6" x14ac:dyDescent="0.3">
      <c r="A79" s="12" t="s">
        <v>147</v>
      </c>
      <c r="B79" s="12">
        <v>2024</v>
      </c>
      <c r="C79" s="12" t="s">
        <v>160</v>
      </c>
      <c r="D79" s="12" t="s">
        <v>148</v>
      </c>
      <c r="E79" s="1">
        <v>16844</v>
      </c>
      <c r="F79" s="1" t="s">
        <v>53</v>
      </c>
      <c r="G79" s="1">
        <v>3</v>
      </c>
      <c r="H79" s="12" t="s">
        <v>149</v>
      </c>
      <c r="I79" s="2" t="s">
        <v>54</v>
      </c>
      <c r="J79" s="2"/>
      <c r="K79" s="5" t="s">
        <v>84</v>
      </c>
      <c r="L79" s="20">
        <v>7279</v>
      </c>
      <c r="M79" s="21">
        <v>9384540.5600000005</v>
      </c>
      <c r="N79" s="21"/>
      <c r="O79" s="21">
        <v>6211830.6200000001</v>
      </c>
      <c r="P79" s="21"/>
      <c r="Q79" s="21">
        <f t="shared" si="12"/>
        <v>3172709.9400000004</v>
      </c>
      <c r="R79" s="21">
        <v>1502366.1240000001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f t="shared" si="13"/>
        <v>0</v>
      </c>
      <c r="AB79" s="21">
        <f t="shared" si="14"/>
        <v>1502366.1240000001</v>
      </c>
      <c r="AC79" s="21">
        <f t="shared" si="15"/>
        <v>4709464.4960000003</v>
      </c>
      <c r="AD79" s="21">
        <f t="shared" si="16"/>
        <v>7882174.4360000007</v>
      </c>
      <c r="AE79" s="12" t="s">
        <v>152</v>
      </c>
    </row>
    <row r="80" spans="1:31" ht="15.6" x14ac:dyDescent="0.3">
      <c r="A80" s="12" t="s">
        <v>98</v>
      </c>
      <c r="B80" s="12">
        <v>2025</v>
      </c>
      <c r="C80" s="12" t="s">
        <v>160</v>
      </c>
      <c r="D80" s="12" t="s">
        <v>37</v>
      </c>
      <c r="E80" s="13">
        <v>16879</v>
      </c>
      <c r="F80" s="13" t="s">
        <v>23</v>
      </c>
      <c r="G80" s="1">
        <v>1</v>
      </c>
      <c r="H80" s="4" t="s">
        <v>24</v>
      </c>
      <c r="I80" s="4" t="s">
        <v>99</v>
      </c>
      <c r="J80" s="4"/>
      <c r="K80" s="2" t="s">
        <v>100</v>
      </c>
      <c r="L80" s="26">
        <v>330</v>
      </c>
      <c r="M80" s="8">
        <f>[1]PRESUPUESTO!$G$42</f>
        <v>2810700.0185658624</v>
      </c>
      <c r="N80" s="8"/>
      <c r="O80" s="14">
        <v>2850122.36</v>
      </c>
      <c r="P80" s="14"/>
      <c r="Q80" s="21">
        <f t="shared" si="12"/>
        <v>-39422.34143413743</v>
      </c>
      <c r="R80" s="8">
        <f t="shared" ref="R80:R92" si="17">O80*20%</f>
        <v>570024.47199999995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21">
        <f t="shared" si="13"/>
        <v>0</v>
      </c>
      <c r="AB80" s="21">
        <f t="shared" si="14"/>
        <v>570024.47199999995</v>
      </c>
      <c r="AC80" s="21">
        <f t="shared" si="15"/>
        <v>2280097.8879999998</v>
      </c>
      <c r="AD80" s="21">
        <f t="shared" si="16"/>
        <v>2240675.5465658624</v>
      </c>
      <c r="AE80" s="24" t="s">
        <v>153</v>
      </c>
    </row>
    <row r="81" spans="1:31" ht="15.6" x14ac:dyDescent="0.3">
      <c r="A81" s="12" t="s">
        <v>98</v>
      </c>
      <c r="B81" s="12">
        <v>2025</v>
      </c>
      <c r="C81" s="12" t="s">
        <v>160</v>
      </c>
      <c r="D81" s="12" t="s">
        <v>37</v>
      </c>
      <c r="E81" s="13">
        <v>16879</v>
      </c>
      <c r="F81" s="13" t="s">
        <v>23</v>
      </c>
      <c r="G81" s="1">
        <v>2</v>
      </c>
      <c r="H81" s="2" t="s">
        <v>24</v>
      </c>
      <c r="I81" s="4" t="s">
        <v>99</v>
      </c>
      <c r="J81" s="4"/>
      <c r="K81" s="2" t="s">
        <v>101</v>
      </c>
      <c r="L81" s="26">
        <v>200</v>
      </c>
      <c r="M81" s="8">
        <f>[2]PRESUPUESTO!$G$44</f>
        <v>572688.8888798363</v>
      </c>
      <c r="N81" s="8"/>
      <c r="O81" s="14">
        <v>591558.27</v>
      </c>
      <c r="P81" s="14"/>
      <c r="Q81" s="21">
        <f t="shared" si="12"/>
        <v>-18869.381120163715</v>
      </c>
      <c r="R81" s="8">
        <f t="shared" si="17"/>
        <v>118311.65400000001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21">
        <f t="shared" si="13"/>
        <v>0</v>
      </c>
      <c r="AB81" s="21">
        <f t="shared" si="14"/>
        <v>118311.65400000001</v>
      </c>
      <c r="AC81" s="21">
        <f t="shared" si="15"/>
        <v>473246.61600000004</v>
      </c>
      <c r="AD81" s="21">
        <f t="shared" si="16"/>
        <v>454377.23487983632</v>
      </c>
      <c r="AE81" s="24" t="s">
        <v>153</v>
      </c>
    </row>
    <row r="82" spans="1:31" ht="15.6" x14ac:dyDescent="0.3">
      <c r="A82" s="12" t="s">
        <v>98</v>
      </c>
      <c r="B82" s="12">
        <v>2025</v>
      </c>
      <c r="C82" s="12" t="s">
        <v>160</v>
      </c>
      <c r="D82" s="12" t="s">
        <v>37</v>
      </c>
      <c r="E82" s="13">
        <v>16879</v>
      </c>
      <c r="F82" s="13" t="s">
        <v>23</v>
      </c>
      <c r="G82" s="1">
        <v>3</v>
      </c>
      <c r="H82" s="2" t="s">
        <v>24</v>
      </c>
      <c r="I82" s="4" t="s">
        <v>99</v>
      </c>
      <c r="J82" s="4"/>
      <c r="K82" s="9" t="s">
        <v>102</v>
      </c>
      <c r="L82" s="26">
        <v>125</v>
      </c>
      <c r="M82" s="10">
        <v>994989.31</v>
      </c>
      <c r="N82" s="10"/>
      <c r="O82" s="14">
        <v>1174581.71</v>
      </c>
      <c r="P82" s="14"/>
      <c r="Q82" s="21">
        <f t="shared" si="12"/>
        <v>-179592.39999999991</v>
      </c>
      <c r="R82" s="8">
        <f>O82*20%</f>
        <v>234916.342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21">
        <f t="shared" si="13"/>
        <v>0</v>
      </c>
      <c r="AB82" s="21">
        <f t="shared" si="14"/>
        <v>234916.342</v>
      </c>
      <c r="AC82" s="21">
        <f t="shared" si="15"/>
        <v>939665.36800000002</v>
      </c>
      <c r="AD82" s="21">
        <f t="shared" si="16"/>
        <v>760072.96800000011</v>
      </c>
      <c r="AE82" s="24" t="s">
        <v>153</v>
      </c>
    </row>
    <row r="83" spans="1:31" ht="15.6" x14ac:dyDescent="0.3">
      <c r="A83" s="12" t="s">
        <v>98</v>
      </c>
      <c r="B83" s="12">
        <v>2025</v>
      </c>
      <c r="C83" s="12" t="s">
        <v>160</v>
      </c>
      <c r="D83" s="12" t="s">
        <v>37</v>
      </c>
      <c r="E83" s="13">
        <v>16879</v>
      </c>
      <c r="F83" s="13" t="s">
        <v>23</v>
      </c>
      <c r="G83" s="1">
        <v>4</v>
      </c>
      <c r="H83" s="9" t="s">
        <v>24</v>
      </c>
      <c r="I83" s="4" t="s">
        <v>99</v>
      </c>
      <c r="J83" s="4"/>
      <c r="K83" s="9" t="s">
        <v>103</v>
      </c>
      <c r="L83" s="27">
        <v>225</v>
      </c>
      <c r="M83" s="10">
        <v>1086179.3</v>
      </c>
      <c r="N83" s="10"/>
      <c r="O83" s="14">
        <v>1176197.75</v>
      </c>
      <c r="P83" s="14"/>
      <c r="Q83" s="21">
        <f t="shared" si="12"/>
        <v>-90018.449999999953</v>
      </c>
      <c r="R83" s="8">
        <f t="shared" si="17"/>
        <v>235239.55000000002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21">
        <f t="shared" si="13"/>
        <v>0</v>
      </c>
      <c r="AB83" s="21">
        <f t="shared" si="14"/>
        <v>235239.55000000002</v>
      </c>
      <c r="AC83" s="21">
        <f t="shared" si="15"/>
        <v>940958.2</v>
      </c>
      <c r="AD83" s="21">
        <f t="shared" si="16"/>
        <v>850939.75</v>
      </c>
      <c r="AE83" s="24" t="s">
        <v>153</v>
      </c>
    </row>
    <row r="84" spans="1:31" ht="15.6" x14ac:dyDescent="0.3">
      <c r="A84" s="12" t="s">
        <v>98</v>
      </c>
      <c r="B84" s="12">
        <v>2025</v>
      </c>
      <c r="C84" s="12" t="s">
        <v>160</v>
      </c>
      <c r="D84" s="12" t="s">
        <v>37</v>
      </c>
      <c r="E84" s="13">
        <v>16879</v>
      </c>
      <c r="F84" s="13" t="s">
        <v>23</v>
      </c>
      <c r="G84" s="1">
        <v>5</v>
      </c>
      <c r="H84" s="2" t="s">
        <v>24</v>
      </c>
      <c r="I84" s="4" t="s">
        <v>99</v>
      </c>
      <c r="J84" s="4"/>
      <c r="K84" s="2" t="s">
        <v>104</v>
      </c>
      <c r="L84" s="26">
        <v>225</v>
      </c>
      <c r="M84" s="10">
        <v>1075691.02</v>
      </c>
      <c r="N84" s="10"/>
      <c r="O84" s="14">
        <v>1091934.29</v>
      </c>
      <c r="P84" s="14"/>
      <c r="Q84" s="21">
        <f t="shared" si="12"/>
        <v>-16243.270000000019</v>
      </c>
      <c r="R84" s="8">
        <f t="shared" si="17"/>
        <v>218386.85800000001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21">
        <f t="shared" si="13"/>
        <v>0</v>
      </c>
      <c r="AB84" s="21">
        <f t="shared" si="14"/>
        <v>218386.85800000001</v>
      </c>
      <c r="AC84" s="21">
        <f t="shared" si="15"/>
        <v>873547.43200000003</v>
      </c>
      <c r="AD84" s="21">
        <f t="shared" si="16"/>
        <v>857304.16200000001</v>
      </c>
      <c r="AE84" s="24" t="s">
        <v>153</v>
      </c>
    </row>
    <row r="85" spans="1:31" ht="15.6" x14ac:dyDescent="0.3">
      <c r="A85" s="12" t="s">
        <v>98</v>
      </c>
      <c r="B85" s="12">
        <v>2025</v>
      </c>
      <c r="C85" s="12" t="s">
        <v>160</v>
      </c>
      <c r="D85" s="12" t="s">
        <v>37</v>
      </c>
      <c r="E85" s="13">
        <v>16879</v>
      </c>
      <c r="F85" s="13" t="s">
        <v>23</v>
      </c>
      <c r="G85" s="1">
        <v>6</v>
      </c>
      <c r="H85" s="2" t="s">
        <v>24</v>
      </c>
      <c r="I85" s="4" t="s">
        <v>99</v>
      </c>
      <c r="J85" s="4"/>
      <c r="K85" s="2" t="s">
        <v>105</v>
      </c>
      <c r="L85" s="26">
        <v>505</v>
      </c>
      <c r="M85" s="10">
        <v>1920848.44</v>
      </c>
      <c r="N85" s="10"/>
      <c r="O85" s="14">
        <v>2060622.85</v>
      </c>
      <c r="P85" s="14"/>
      <c r="Q85" s="21">
        <f t="shared" si="12"/>
        <v>-139774.41000000015</v>
      </c>
      <c r="R85" s="8">
        <f t="shared" si="17"/>
        <v>412124.57000000007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21">
        <f t="shared" si="13"/>
        <v>0</v>
      </c>
      <c r="AB85" s="21">
        <f t="shared" si="14"/>
        <v>412124.57000000007</v>
      </c>
      <c r="AC85" s="21">
        <f t="shared" si="15"/>
        <v>1648498.28</v>
      </c>
      <c r="AD85" s="21">
        <f t="shared" si="16"/>
        <v>1508723.8699999999</v>
      </c>
      <c r="AE85" s="24" t="s">
        <v>153</v>
      </c>
    </row>
    <row r="86" spans="1:31" ht="31.2" x14ac:dyDescent="0.3">
      <c r="A86" s="12" t="s">
        <v>98</v>
      </c>
      <c r="B86" s="12">
        <v>2025</v>
      </c>
      <c r="C86" s="12" t="s">
        <v>160</v>
      </c>
      <c r="D86" s="12" t="s">
        <v>37</v>
      </c>
      <c r="E86" s="13">
        <v>16879</v>
      </c>
      <c r="F86" s="13" t="s">
        <v>23</v>
      </c>
      <c r="G86" s="1">
        <v>1</v>
      </c>
      <c r="H86" s="5" t="s">
        <v>39</v>
      </c>
      <c r="I86" s="4" t="s">
        <v>99</v>
      </c>
      <c r="J86" s="4"/>
      <c r="K86" s="5" t="s">
        <v>106</v>
      </c>
      <c r="L86" s="27">
        <v>1200</v>
      </c>
      <c r="M86" s="10">
        <v>3179737.7087980006</v>
      </c>
      <c r="N86" s="10"/>
      <c r="O86" s="14">
        <v>2861763.94</v>
      </c>
      <c r="P86" s="14"/>
      <c r="Q86" s="21">
        <f t="shared" si="12"/>
        <v>317973.76879800064</v>
      </c>
      <c r="R86" s="8">
        <f>O86*20%</f>
        <v>572352.78800000006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21">
        <f t="shared" si="13"/>
        <v>0</v>
      </c>
      <c r="AB86" s="21">
        <f t="shared" si="14"/>
        <v>572352.78800000006</v>
      </c>
      <c r="AC86" s="21">
        <f t="shared" si="15"/>
        <v>2289411.1519999998</v>
      </c>
      <c r="AD86" s="21">
        <f t="shared" si="16"/>
        <v>2607384.9207980004</v>
      </c>
      <c r="AE86" s="24" t="s">
        <v>153</v>
      </c>
    </row>
    <row r="87" spans="1:31" ht="15.6" x14ac:dyDescent="0.3">
      <c r="A87" s="12" t="s">
        <v>98</v>
      </c>
      <c r="B87" s="12">
        <v>2025</v>
      </c>
      <c r="C87" s="12" t="s">
        <v>160</v>
      </c>
      <c r="D87" s="12" t="s">
        <v>37</v>
      </c>
      <c r="E87" s="13">
        <v>16879</v>
      </c>
      <c r="F87" s="13" t="s">
        <v>23</v>
      </c>
      <c r="G87" s="1">
        <v>2</v>
      </c>
      <c r="H87" s="4" t="s">
        <v>39</v>
      </c>
      <c r="I87" s="4" t="s">
        <v>99</v>
      </c>
      <c r="J87" s="4"/>
      <c r="K87" s="2" t="s">
        <v>101</v>
      </c>
      <c r="L87" s="26">
        <v>200</v>
      </c>
      <c r="M87" s="10">
        <v>3126304.2513624178</v>
      </c>
      <c r="N87" s="10"/>
      <c r="O87" s="14">
        <v>2813673.83</v>
      </c>
      <c r="P87" s="14"/>
      <c r="Q87" s="21">
        <f t="shared" si="12"/>
        <v>312630.42136241775</v>
      </c>
      <c r="R87" s="8">
        <f>O87*20%</f>
        <v>562734.76600000006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21">
        <f t="shared" si="13"/>
        <v>0</v>
      </c>
      <c r="AB87" s="21">
        <f t="shared" si="14"/>
        <v>562734.76600000006</v>
      </c>
      <c r="AC87" s="21">
        <f t="shared" si="15"/>
        <v>2250939.0640000002</v>
      </c>
      <c r="AD87" s="21">
        <f t="shared" si="16"/>
        <v>2563569.485362418</v>
      </c>
      <c r="AE87" s="24" t="s">
        <v>153</v>
      </c>
    </row>
    <row r="88" spans="1:31" ht="15.6" x14ac:dyDescent="0.3">
      <c r="A88" s="12" t="s">
        <v>98</v>
      </c>
      <c r="B88" s="12">
        <v>2025</v>
      </c>
      <c r="C88" s="12" t="s">
        <v>160</v>
      </c>
      <c r="D88" s="12" t="s">
        <v>37</v>
      </c>
      <c r="E88" s="13">
        <v>16879</v>
      </c>
      <c r="F88" s="13" t="s">
        <v>42</v>
      </c>
      <c r="G88" s="1">
        <v>7</v>
      </c>
      <c r="H88" s="2" t="s">
        <v>24</v>
      </c>
      <c r="I88" s="2" t="s">
        <v>107</v>
      </c>
      <c r="J88" s="2"/>
      <c r="K88" s="2" t="s">
        <v>108</v>
      </c>
      <c r="L88" s="26">
        <v>275</v>
      </c>
      <c r="M88" s="10">
        <v>2025719.18</v>
      </c>
      <c r="N88" s="10"/>
      <c r="O88" s="14">
        <v>2009340.36</v>
      </c>
      <c r="P88" s="14"/>
      <c r="Q88" s="21">
        <f t="shared" si="12"/>
        <v>16378.819999999832</v>
      </c>
      <c r="R88" s="8">
        <f t="shared" si="17"/>
        <v>401868.07200000004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21">
        <f t="shared" si="13"/>
        <v>0</v>
      </c>
      <c r="AB88" s="21">
        <f t="shared" si="14"/>
        <v>401868.07200000004</v>
      </c>
      <c r="AC88" s="21">
        <f t="shared" si="15"/>
        <v>1607472.2880000002</v>
      </c>
      <c r="AD88" s="21">
        <f t="shared" si="16"/>
        <v>1623851.108</v>
      </c>
      <c r="AE88" s="24" t="s">
        <v>153</v>
      </c>
    </row>
    <row r="89" spans="1:31" ht="15.6" x14ac:dyDescent="0.3">
      <c r="A89" s="12" t="s">
        <v>98</v>
      </c>
      <c r="B89" s="12">
        <v>2025</v>
      </c>
      <c r="C89" s="12" t="s">
        <v>160</v>
      </c>
      <c r="D89" s="12" t="s">
        <v>37</v>
      </c>
      <c r="E89" s="13">
        <v>16879</v>
      </c>
      <c r="F89" s="13" t="s">
        <v>42</v>
      </c>
      <c r="G89" s="1">
        <v>8</v>
      </c>
      <c r="H89" s="2" t="s">
        <v>24</v>
      </c>
      <c r="I89" s="2" t="s">
        <v>107</v>
      </c>
      <c r="J89" s="2"/>
      <c r="K89" s="2" t="s">
        <v>109</v>
      </c>
      <c r="L89" s="26">
        <v>280</v>
      </c>
      <c r="M89" s="10">
        <v>2535373.4900000002</v>
      </c>
      <c r="N89" s="10"/>
      <c r="O89" s="14">
        <v>2584327.9700000002</v>
      </c>
      <c r="P89" s="14"/>
      <c r="Q89" s="21">
        <f t="shared" si="12"/>
        <v>-48954.479999999981</v>
      </c>
      <c r="R89" s="8">
        <f t="shared" si="17"/>
        <v>516865.59400000004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21">
        <f t="shared" si="13"/>
        <v>0</v>
      </c>
      <c r="AB89" s="21">
        <f t="shared" si="14"/>
        <v>516865.59400000004</v>
      </c>
      <c r="AC89" s="21">
        <f t="shared" si="15"/>
        <v>2067462.3760000002</v>
      </c>
      <c r="AD89" s="21">
        <f t="shared" si="16"/>
        <v>2018507.8960000002</v>
      </c>
      <c r="AE89" s="24" t="s">
        <v>153</v>
      </c>
    </row>
    <row r="90" spans="1:31" ht="15.6" x14ac:dyDescent="0.3">
      <c r="A90" s="12" t="s">
        <v>98</v>
      </c>
      <c r="B90" s="12">
        <v>2025</v>
      </c>
      <c r="C90" s="12" t="s">
        <v>160</v>
      </c>
      <c r="D90" s="12" t="s">
        <v>37</v>
      </c>
      <c r="E90" s="13">
        <v>16879</v>
      </c>
      <c r="F90" s="13" t="s">
        <v>42</v>
      </c>
      <c r="G90" s="1">
        <v>9</v>
      </c>
      <c r="H90" s="2" t="s">
        <v>24</v>
      </c>
      <c r="I90" s="2" t="s">
        <v>107</v>
      </c>
      <c r="J90" s="2"/>
      <c r="K90" s="2" t="s">
        <v>110</v>
      </c>
      <c r="L90" s="26">
        <v>125</v>
      </c>
      <c r="M90" s="10">
        <v>565528.51</v>
      </c>
      <c r="N90" s="10"/>
      <c r="O90" s="14">
        <v>581155.59</v>
      </c>
      <c r="P90" s="14"/>
      <c r="Q90" s="21">
        <f t="shared" si="12"/>
        <v>-15627.079999999958</v>
      </c>
      <c r="R90" s="8">
        <f t="shared" si="17"/>
        <v>116231.118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21">
        <f t="shared" si="13"/>
        <v>0</v>
      </c>
      <c r="AB90" s="21">
        <f t="shared" si="14"/>
        <v>116231.118</v>
      </c>
      <c r="AC90" s="21">
        <f t="shared" si="15"/>
        <v>464924.47199999995</v>
      </c>
      <c r="AD90" s="21">
        <f t="shared" si="16"/>
        <v>449297.39199999999</v>
      </c>
      <c r="AE90" s="24" t="s">
        <v>153</v>
      </c>
    </row>
    <row r="91" spans="1:31" ht="15.6" x14ac:dyDescent="0.3">
      <c r="A91" s="12" t="s">
        <v>98</v>
      </c>
      <c r="B91" s="12">
        <v>2025</v>
      </c>
      <c r="C91" s="12" t="s">
        <v>160</v>
      </c>
      <c r="D91" s="12" t="s">
        <v>37</v>
      </c>
      <c r="E91" s="13">
        <v>16879</v>
      </c>
      <c r="F91" s="13" t="s">
        <v>42</v>
      </c>
      <c r="G91" s="1">
        <v>10</v>
      </c>
      <c r="H91" s="2" t="s">
        <v>24</v>
      </c>
      <c r="I91" s="2" t="s">
        <v>107</v>
      </c>
      <c r="J91" s="2"/>
      <c r="K91" s="2" t="s">
        <v>111</v>
      </c>
      <c r="L91" s="26">
        <v>100</v>
      </c>
      <c r="M91" s="10">
        <v>693468.93</v>
      </c>
      <c r="N91" s="10"/>
      <c r="O91" s="14">
        <v>671509.05</v>
      </c>
      <c r="P91" s="14"/>
      <c r="Q91" s="21">
        <f t="shared" si="12"/>
        <v>21959.880000000005</v>
      </c>
      <c r="R91" s="8">
        <f t="shared" si="17"/>
        <v>134301.81000000003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21">
        <f t="shared" si="13"/>
        <v>0</v>
      </c>
      <c r="AB91" s="21">
        <f t="shared" si="14"/>
        <v>134301.81000000003</v>
      </c>
      <c r="AC91" s="21">
        <f t="shared" si="15"/>
        <v>537207.24</v>
      </c>
      <c r="AD91" s="21">
        <f t="shared" si="16"/>
        <v>559167.12</v>
      </c>
      <c r="AE91" s="24" t="s">
        <v>153</v>
      </c>
    </row>
    <row r="92" spans="1:31" ht="15.6" x14ac:dyDescent="0.3">
      <c r="A92" s="12" t="s">
        <v>98</v>
      </c>
      <c r="B92" s="12">
        <v>2025</v>
      </c>
      <c r="C92" s="12" t="s">
        <v>160</v>
      </c>
      <c r="D92" s="12" t="s">
        <v>37</v>
      </c>
      <c r="E92" s="13">
        <v>16879</v>
      </c>
      <c r="F92" s="13" t="s">
        <v>42</v>
      </c>
      <c r="G92" s="1">
        <v>11</v>
      </c>
      <c r="H92" s="2" t="s">
        <v>24</v>
      </c>
      <c r="I92" s="2" t="s">
        <v>107</v>
      </c>
      <c r="J92" s="2"/>
      <c r="K92" s="2" t="s">
        <v>112</v>
      </c>
      <c r="L92" s="26">
        <v>1000</v>
      </c>
      <c r="M92" s="10">
        <v>2094659.12</v>
      </c>
      <c r="N92" s="10"/>
      <c r="O92" s="14">
        <v>2214571.5</v>
      </c>
      <c r="P92" s="14"/>
      <c r="Q92" s="21">
        <f t="shared" si="12"/>
        <v>-119912.37999999989</v>
      </c>
      <c r="R92" s="8">
        <f t="shared" si="17"/>
        <v>442914.30000000005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21">
        <f t="shared" si="13"/>
        <v>0</v>
      </c>
      <c r="AB92" s="21">
        <f t="shared" si="14"/>
        <v>442914.30000000005</v>
      </c>
      <c r="AC92" s="21">
        <f t="shared" si="15"/>
        <v>1771657.2</v>
      </c>
      <c r="AD92" s="21">
        <f t="shared" si="16"/>
        <v>1651744.82</v>
      </c>
      <c r="AE92" s="24" t="s">
        <v>153</v>
      </c>
    </row>
    <row r="93" spans="1:31" ht="31.2" x14ac:dyDescent="0.3">
      <c r="A93" s="12" t="s">
        <v>98</v>
      </c>
      <c r="B93" s="12">
        <v>2025</v>
      </c>
      <c r="C93" s="12" t="s">
        <v>160</v>
      </c>
      <c r="D93" s="12" t="s">
        <v>37</v>
      </c>
      <c r="E93" s="13">
        <v>16879</v>
      </c>
      <c r="F93" s="13" t="s">
        <v>42</v>
      </c>
      <c r="G93" s="1">
        <v>12</v>
      </c>
      <c r="H93" s="2" t="s">
        <v>24</v>
      </c>
      <c r="I93" s="2" t="s">
        <v>107</v>
      </c>
      <c r="J93" s="2"/>
      <c r="K93" s="5" t="s">
        <v>113</v>
      </c>
      <c r="L93" s="26">
        <v>75</v>
      </c>
      <c r="M93" s="10">
        <v>1228598.75</v>
      </c>
      <c r="N93" s="10"/>
      <c r="O93" s="14">
        <v>1298144.8700000001</v>
      </c>
      <c r="P93" s="14"/>
      <c r="Q93" s="21">
        <f t="shared" si="12"/>
        <v>-69546.120000000112</v>
      </c>
      <c r="R93" s="8">
        <f>O93*20%</f>
        <v>259628.97400000005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21">
        <f t="shared" si="13"/>
        <v>0</v>
      </c>
      <c r="AB93" s="21">
        <f t="shared" si="14"/>
        <v>259628.97400000005</v>
      </c>
      <c r="AC93" s="21">
        <f t="shared" si="15"/>
        <v>1038515.8960000001</v>
      </c>
      <c r="AD93" s="21">
        <f t="shared" si="16"/>
        <v>968969.77599999995</v>
      </c>
      <c r="AE93" s="24" t="s">
        <v>153</v>
      </c>
    </row>
    <row r="94" spans="1:31" ht="15.6" x14ac:dyDescent="0.3">
      <c r="A94" s="12" t="s">
        <v>98</v>
      </c>
      <c r="B94" s="12">
        <v>2025</v>
      </c>
      <c r="C94" s="12" t="s">
        <v>160</v>
      </c>
      <c r="D94" s="12" t="s">
        <v>37</v>
      </c>
      <c r="E94" s="13">
        <v>16879</v>
      </c>
      <c r="F94" s="13" t="s">
        <v>42</v>
      </c>
      <c r="G94" s="1">
        <v>13</v>
      </c>
      <c r="H94" s="2" t="s">
        <v>24</v>
      </c>
      <c r="I94" s="2" t="s">
        <v>107</v>
      </c>
      <c r="J94" s="2"/>
      <c r="K94" s="2" t="s">
        <v>114</v>
      </c>
      <c r="L94" s="26">
        <v>30</v>
      </c>
      <c r="M94" s="10">
        <v>2295873.41</v>
      </c>
      <c r="N94" s="10"/>
      <c r="O94" s="14">
        <v>2424188.91</v>
      </c>
      <c r="P94" s="14"/>
      <c r="Q94" s="21">
        <f t="shared" si="12"/>
        <v>-128315.5</v>
      </c>
      <c r="R94" s="8">
        <f>O94*20%</f>
        <v>484837.78200000006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21">
        <f t="shared" si="13"/>
        <v>0</v>
      </c>
      <c r="AB94" s="21">
        <f t="shared" si="14"/>
        <v>484837.78200000006</v>
      </c>
      <c r="AC94" s="21">
        <f t="shared" si="15"/>
        <v>1939351.128</v>
      </c>
      <c r="AD94" s="21">
        <f t="shared" si="16"/>
        <v>1811035.628</v>
      </c>
      <c r="AE94" s="24" t="s">
        <v>153</v>
      </c>
    </row>
    <row r="95" spans="1:31" ht="31.2" x14ac:dyDescent="0.3">
      <c r="A95" s="12" t="s">
        <v>98</v>
      </c>
      <c r="B95" s="12">
        <v>2025</v>
      </c>
      <c r="C95" s="12" t="s">
        <v>160</v>
      </c>
      <c r="D95" s="12" t="s">
        <v>37</v>
      </c>
      <c r="E95" s="13">
        <v>16879</v>
      </c>
      <c r="F95" s="13" t="s">
        <v>42</v>
      </c>
      <c r="G95" s="1">
        <v>3</v>
      </c>
      <c r="H95" s="4" t="s">
        <v>39</v>
      </c>
      <c r="I95" s="2" t="s">
        <v>107</v>
      </c>
      <c r="J95" s="2"/>
      <c r="K95" s="5" t="s">
        <v>115</v>
      </c>
      <c r="L95" s="26">
        <v>1000</v>
      </c>
      <c r="M95" s="10">
        <f>M87</f>
        <v>3126304.2513624178</v>
      </c>
      <c r="N95" s="10"/>
      <c r="O95" s="14">
        <v>2813673.83</v>
      </c>
      <c r="P95" s="14"/>
      <c r="Q95" s="21">
        <f t="shared" si="12"/>
        <v>312630.42136241775</v>
      </c>
      <c r="R95" s="8">
        <f t="shared" ref="R95:R100" si="18">O95*20%</f>
        <v>562734.76600000006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21">
        <f t="shared" si="13"/>
        <v>0</v>
      </c>
      <c r="AB95" s="21">
        <f t="shared" si="14"/>
        <v>562734.76600000006</v>
      </c>
      <c r="AC95" s="21">
        <f t="shared" si="15"/>
        <v>2250939.0640000002</v>
      </c>
      <c r="AD95" s="21">
        <f t="shared" si="16"/>
        <v>2563569.485362418</v>
      </c>
      <c r="AE95" s="24" t="s">
        <v>153</v>
      </c>
    </row>
    <row r="96" spans="1:31" ht="31.2" x14ac:dyDescent="0.3">
      <c r="A96" s="12" t="s">
        <v>98</v>
      </c>
      <c r="B96" s="12">
        <v>2025</v>
      </c>
      <c r="C96" s="12" t="s">
        <v>160</v>
      </c>
      <c r="D96" s="12" t="s">
        <v>37</v>
      </c>
      <c r="E96" s="13">
        <v>16879</v>
      </c>
      <c r="F96" s="13" t="s">
        <v>42</v>
      </c>
      <c r="G96" s="1">
        <v>4</v>
      </c>
      <c r="H96" s="4" t="s">
        <v>39</v>
      </c>
      <c r="I96" s="2" t="s">
        <v>107</v>
      </c>
      <c r="J96" s="2"/>
      <c r="K96" s="4" t="s">
        <v>113</v>
      </c>
      <c r="L96" s="26">
        <v>75</v>
      </c>
      <c r="M96" s="10">
        <f>M87</f>
        <v>3126304.2513624178</v>
      </c>
      <c r="N96" s="10"/>
      <c r="O96" s="14">
        <v>2813673.83</v>
      </c>
      <c r="P96" s="14"/>
      <c r="Q96" s="21">
        <f t="shared" si="12"/>
        <v>312630.42136241775</v>
      </c>
      <c r="R96" s="8">
        <f t="shared" si="18"/>
        <v>562734.76600000006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21">
        <f t="shared" si="13"/>
        <v>0</v>
      </c>
      <c r="AB96" s="21">
        <f t="shared" si="14"/>
        <v>562734.76600000006</v>
      </c>
      <c r="AC96" s="21">
        <f t="shared" si="15"/>
        <v>2250939.0640000002</v>
      </c>
      <c r="AD96" s="21">
        <f t="shared" si="16"/>
        <v>2563569.485362418</v>
      </c>
      <c r="AE96" s="24" t="s">
        <v>153</v>
      </c>
    </row>
    <row r="97" spans="1:31" ht="15.6" x14ac:dyDescent="0.3">
      <c r="A97" s="12" t="s">
        <v>98</v>
      </c>
      <c r="B97" s="12">
        <v>2025</v>
      </c>
      <c r="C97" s="12" t="s">
        <v>160</v>
      </c>
      <c r="D97" s="12" t="s">
        <v>116</v>
      </c>
      <c r="E97" s="13">
        <v>16879</v>
      </c>
      <c r="F97" s="13" t="s">
        <v>53</v>
      </c>
      <c r="G97" s="1">
        <v>14</v>
      </c>
      <c r="H97" s="2" t="s">
        <v>24</v>
      </c>
      <c r="I97" s="2" t="s">
        <v>117</v>
      </c>
      <c r="J97" s="2"/>
      <c r="K97" s="2" t="s">
        <v>118</v>
      </c>
      <c r="L97" s="26">
        <v>75</v>
      </c>
      <c r="M97" s="10">
        <v>705067.08</v>
      </c>
      <c r="N97" s="10"/>
      <c r="O97" s="14">
        <v>648739.39</v>
      </c>
      <c r="P97" s="14"/>
      <c r="Q97" s="21">
        <f t="shared" si="12"/>
        <v>56327.689999999944</v>
      </c>
      <c r="R97" s="8">
        <f t="shared" si="18"/>
        <v>129747.87800000001</v>
      </c>
      <c r="S97" s="8">
        <v>393436.7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21">
        <f t="shared" si="13"/>
        <v>393436.7</v>
      </c>
      <c r="AB97" s="21">
        <f t="shared" si="14"/>
        <v>523184.57800000004</v>
      </c>
      <c r="AC97" s="21">
        <f t="shared" si="15"/>
        <v>125554.81199999998</v>
      </c>
      <c r="AD97" s="21">
        <f t="shared" si="16"/>
        <v>181882.50199999992</v>
      </c>
      <c r="AE97" s="24" t="s">
        <v>153</v>
      </c>
    </row>
    <row r="98" spans="1:31" ht="15.6" x14ac:dyDescent="0.3">
      <c r="A98" s="12" t="s">
        <v>98</v>
      </c>
      <c r="B98" s="12">
        <v>2025</v>
      </c>
      <c r="C98" s="12" t="s">
        <v>160</v>
      </c>
      <c r="D98" s="12" t="s">
        <v>116</v>
      </c>
      <c r="E98" s="13">
        <v>16879</v>
      </c>
      <c r="F98" s="13" t="s">
        <v>53</v>
      </c>
      <c r="G98" s="1">
        <v>15</v>
      </c>
      <c r="H98" s="2" t="s">
        <v>24</v>
      </c>
      <c r="I98" s="2" t="s">
        <v>117</v>
      </c>
      <c r="J98" s="2"/>
      <c r="K98" s="2" t="s">
        <v>119</v>
      </c>
      <c r="L98" s="26">
        <v>350</v>
      </c>
      <c r="M98" s="10">
        <v>1502938.05</v>
      </c>
      <c r="N98" s="10"/>
      <c r="O98" s="14">
        <v>1396857.16</v>
      </c>
      <c r="P98" s="14"/>
      <c r="Q98" s="21">
        <f t="shared" si="12"/>
        <v>106080.89000000013</v>
      </c>
      <c r="R98" s="8">
        <f t="shared" si="18"/>
        <v>279371.43199999997</v>
      </c>
      <c r="S98" s="8">
        <v>900373.29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21">
        <f>SUM(S98:Z98)</f>
        <v>900373.29</v>
      </c>
      <c r="AB98" s="21">
        <f t="shared" si="14"/>
        <v>1179744.7220000001</v>
      </c>
      <c r="AC98" s="21">
        <f t="shared" si="15"/>
        <v>217112.43799999985</v>
      </c>
      <c r="AD98" s="21">
        <f t="shared" si="16"/>
        <v>323193.32799999998</v>
      </c>
      <c r="AE98" s="24" t="s">
        <v>153</v>
      </c>
    </row>
    <row r="99" spans="1:31" ht="31.2" x14ac:dyDescent="0.3">
      <c r="A99" s="12" t="s">
        <v>98</v>
      </c>
      <c r="B99" s="12">
        <v>2025</v>
      </c>
      <c r="C99" s="12" t="s">
        <v>160</v>
      </c>
      <c r="D99" s="12" t="s">
        <v>37</v>
      </c>
      <c r="E99" s="13">
        <v>16879</v>
      </c>
      <c r="F99" s="13" t="s">
        <v>53</v>
      </c>
      <c r="G99" s="1">
        <v>5</v>
      </c>
      <c r="H99" s="4" t="s">
        <v>39</v>
      </c>
      <c r="I99" s="2" t="s">
        <v>117</v>
      </c>
      <c r="J99" s="2"/>
      <c r="K99" s="4" t="s">
        <v>120</v>
      </c>
      <c r="L99" s="26">
        <v>380</v>
      </c>
      <c r="M99" s="10">
        <f>M87</f>
        <v>3126304.2513624178</v>
      </c>
      <c r="N99" s="10"/>
      <c r="O99" s="14">
        <v>2813673.83</v>
      </c>
      <c r="P99" s="14"/>
      <c r="Q99" s="21">
        <f t="shared" si="12"/>
        <v>312630.42136241775</v>
      </c>
      <c r="R99" s="8">
        <f>O99*20%</f>
        <v>562734.76600000006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21">
        <f t="shared" si="13"/>
        <v>0</v>
      </c>
      <c r="AB99" s="21">
        <f t="shared" si="14"/>
        <v>562734.76600000006</v>
      </c>
      <c r="AC99" s="21">
        <f t="shared" si="15"/>
        <v>2250939.0640000002</v>
      </c>
      <c r="AD99" s="21">
        <f t="shared" si="16"/>
        <v>2563569.485362418</v>
      </c>
      <c r="AE99" s="24" t="s">
        <v>153</v>
      </c>
    </row>
    <row r="100" spans="1:31" ht="15.6" x14ac:dyDescent="0.3">
      <c r="A100" s="12" t="s">
        <v>98</v>
      </c>
      <c r="B100" s="12">
        <v>2025</v>
      </c>
      <c r="C100" s="12" t="s">
        <v>160</v>
      </c>
      <c r="D100" s="12" t="s">
        <v>37</v>
      </c>
      <c r="E100" s="13">
        <v>16879</v>
      </c>
      <c r="F100" s="13" t="s">
        <v>53</v>
      </c>
      <c r="G100" s="1">
        <v>6</v>
      </c>
      <c r="H100" s="4" t="s">
        <v>39</v>
      </c>
      <c r="I100" s="2" t="s">
        <v>117</v>
      </c>
      <c r="J100" s="2"/>
      <c r="K100" s="2" t="s">
        <v>121</v>
      </c>
      <c r="L100" s="26">
        <v>250</v>
      </c>
      <c r="M100" s="10">
        <f>M87</f>
        <v>3126304.2513624178</v>
      </c>
      <c r="N100" s="10"/>
      <c r="O100" s="14">
        <v>2813673.83</v>
      </c>
      <c r="P100" s="14"/>
      <c r="Q100" s="21">
        <f t="shared" si="12"/>
        <v>312630.42136241775</v>
      </c>
      <c r="R100" s="8">
        <f t="shared" si="18"/>
        <v>562734.76600000006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21">
        <f t="shared" si="13"/>
        <v>0</v>
      </c>
      <c r="AB100" s="21">
        <f>AA100+R100</f>
        <v>562734.76600000006</v>
      </c>
      <c r="AC100" s="21">
        <f t="shared" si="15"/>
        <v>2250939.0640000002</v>
      </c>
      <c r="AD100" s="21">
        <f t="shared" si="16"/>
        <v>2563569.485362418</v>
      </c>
      <c r="AE100" s="24" t="s">
        <v>153</v>
      </c>
    </row>
    <row r="101" spans="1:31" x14ac:dyDescent="0.3">
      <c r="M101" s="15">
        <f>SUM(M2:M100)</f>
        <v>249832642.35318622</v>
      </c>
      <c r="N101" s="15"/>
      <c r="O101" s="15">
        <f t="shared" ref="O101:AD101" si="19">SUM(O2:O100)</f>
        <v>176177520.62000006</v>
      </c>
      <c r="P101" s="15"/>
      <c r="Q101" s="15">
        <f t="shared" si="19"/>
        <v>73655121.7331862</v>
      </c>
      <c r="R101" s="15">
        <f t="shared" si="19"/>
        <v>33352793.115999989</v>
      </c>
      <c r="S101" s="15">
        <f t="shared" si="19"/>
        <v>6352233.29</v>
      </c>
      <c r="T101" s="15">
        <f t="shared" si="19"/>
        <v>11634599.060000001</v>
      </c>
      <c r="U101" s="15">
        <f t="shared" si="19"/>
        <v>3493695.05</v>
      </c>
      <c r="V101" s="15">
        <f t="shared" si="19"/>
        <v>0</v>
      </c>
      <c r="W101" s="15">
        <f t="shared" si="19"/>
        <v>0</v>
      </c>
      <c r="X101" s="15">
        <f t="shared" si="19"/>
        <v>0</v>
      </c>
      <c r="Y101" s="15">
        <f t="shared" si="19"/>
        <v>0</v>
      </c>
      <c r="Z101" s="15">
        <f t="shared" si="19"/>
        <v>0</v>
      </c>
      <c r="AA101" s="15">
        <f t="shared" si="19"/>
        <v>21480527.399999999</v>
      </c>
      <c r="AB101" s="15">
        <f t="shared" si="19"/>
        <v>54833320.51600001</v>
      </c>
      <c r="AC101" s="15">
        <f t="shared" si="19"/>
        <v>121344200.10399997</v>
      </c>
      <c r="AD101" s="15">
        <f t="shared" si="19"/>
        <v>194999321.83718613</v>
      </c>
    </row>
  </sheetData>
  <autoFilter ref="A1:AE101" xr:uid="{BC6F37E4-1F91-4A47-AD28-286628697739}"/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EAE3-E5B3-4423-ADA4-68A9618C3453}">
  <sheetPr filterMode="1"/>
  <dimension ref="A1:AF103"/>
  <sheetViews>
    <sheetView tabSelected="1" topLeftCell="J1" workbookViewId="0">
      <pane ySplit="1" topLeftCell="A2" activePane="bottomLeft" state="frozen"/>
      <selection activeCell="G1" sqref="G1"/>
      <selection pane="bottomLeft" activeCell="O15" sqref="O15"/>
    </sheetView>
  </sheetViews>
  <sheetFormatPr baseColWidth="10" defaultRowHeight="14.4" x14ac:dyDescent="0.3"/>
  <cols>
    <col min="1" max="1" width="40.6640625" bestFit="1" customWidth="1"/>
    <col min="2" max="2" width="14.21875" customWidth="1"/>
    <col min="3" max="3" width="16.109375" bestFit="1" customWidth="1"/>
    <col min="4" max="4" width="53.88671875" bestFit="1" customWidth="1"/>
    <col min="5" max="5" width="6.5546875" bestFit="1" customWidth="1"/>
    <col min="6" max="6" width="8.21875" bestFit="1" customWidth="1"/>
    <col min="7" max="7" width="9.109375" bestFit="1" customWidth="1"/>
    <col min="8" max="8" width="117.6640625" bestFit="1" customWidth="1"/>
    <col min="9" max="9" width="101.77734375" bestFit="1" customWidth="1"/>
    <col min="10" max="10" width="10.33203125" bestFit="1" customWidth="1"/>
    <col min="11" max="11" width="22.33203125" bestFit="1" customWidth="1"/>
    <col min="12" max="12" width="11.44140625" bestFit="1" customWidth="1"/>
    <col min="13" max="13" width="15.44140625" bestFit="1" customWidth="1"/>
    <col min="14" max="14" width="15.44140625" customWidth="1"/>
    <col min="15" max="15" width="15.33203125" bestFit="1" customWidth="1"/>
    <col min="16" max="16" width="15.33203125" customWidth="1"/>
    <col min="17" max="17" width="16.21875" bestFit="1" customWidth="1"/>
    <col min="18" max="18" width="15.33203125" bestFit="1" customWidth="1"/>
    <col min="19" max="19" width="14.21875" bestFit="1" customWidth="1"/>
    <col min="20" max="20" width="15.33203125" bestFit="1" customWidth="1"/>
    <col min="21" max="21" width="14.21875" bestFit="1" customWidth="1"/>
    <col min="22" max="26" width="11.33203125" bestFit="1" customWidth="1"/>
    <col min="27" max="28" width="15.33203125" bestFit="1" customWidth="1"/>
    <col min="29" max="29" width="14.33203125" bestFit="1" customWidth="1"/>
    <col min="30" max="30" width="15.44140625" bestFit="1" customWidth="1"/>
    <col min="31" max="31" width="14.44140625" bestFit="1" customWidth="1"/>
    <col min="32" max="32" width="48.44140625" bestFit="1" customWidth="1"/>
  </cols>
  <sheetData>
    <row r="1" spans="1:32" ht="62.4" x14ac:dyDescent="0.3">
      <c r="A1" s="16" t="s">
        <v>0</v>
      </c>
      <c r="B1" s="18" t="s">
        <v>162</v>
      </c>
      <c r="C1" s="16" t="s">
        <v>158</v>
      </c>
      <c r="D1" s="16" t="s">
        <v>1</v>
      </c>
      <c r="E1" s="16" t="s">
        <v>2</v>
      </c>
      <c r="F1" s="16" t="s">
        <v>138</v>
      </c>
      <c r="G1" s="16" t="s">
        <v>139</v>
      </c>
      <c r="H1" s="17" t="s">
        <v>3</v>
      </c>
      <c r="I1" s="17" t="s">
        <v>4</v>
      </c>
      <c r="J1" s="17" t="s">
        <v>169</v>
      </c>
      <c r="K1" s="17" t="s">
        <v>5</v>
      </c>
      <c r="L1" s="18" t="s">
        <v>6</v>
      </c>
      <c r="M1" s="18" t="s">
        <v>7</v>
      </c>
      <c r="N1" s="18" t="s">
        <v>164</v>
      </c>
      <c r="O1" s="18" t="s">
        <v>8</v>
      </c>
      <c r="P1" s="18" t="s">
        <v>161</v>
      </c>
      <c r="Q1" s="18" t="s">
        <v>9</v>
      </c>
      <c r="R1" s="19">
        <v>0.2</v>
      </c>
      <c r="S1" s="18" t="s">
        <v>10</v>
      </c>
      <c r="T1" s="18" t="s">
        <v>11</v>
      </c>
      <c r="U1" s="18" t="s">
        <v>12</v>
      </c>
      <c r="V1" s="18" t="s">
        <v>13</v>
      </c>
      <c r="W1" s="18" t="s">
        <v>14</v>
      </c>
      <c r="X1" s="18" t="s">
        <v>15</v>
      </c>
      <c r="Y1" s="18" t="s">
        <v>16</v>
      </c>
      <c r="Z1" s="18" t="s">
        <v>17</v>
      </c>
      <c r="AA1" s="16" t="s">
        <v>18</v>
      </c>
      <c r="AB1" s="18" t="s">
        <v>19</v>
      </c>
      <c r="AC1" s="18" t="s">
        <v>20</v>
      </c>
      <c r="AD1" s="18" t="s">
        <v>21</v>
      </c>
      <c r="AE1" s="18" t="s">
        <v>132</v>
      </c>
    </row>
    <row r="2" spans="1:32" ht="15.6" hidden="1" x14ac:dyDescent="0.3">
      <c r="A2" s="12" t="s">
        <v>123</v>
      </c>
      <c r="B2" s="12">
        <v>2024</v>
      </c>
      <c r="C2" s="12" t="s">
        <v>126</v>
      </c>
      <c r="D2" s="12" t="s">
        <v>159</v>
      </c>
      <c r="E2" s="12">
        <v>16844</v>
      </c>
      <c r="F2" s="13" t="s">
        <v>157</v>
      </c>
      <c r="G2" s="13">
        <v>1</v>
      </c>
      <c r="H2" s="12" t="s">
        <v>127</v>
      </c>
      <c r="I2" s="12" t="s">
        <v>54</v>
      </c>
      <c r="J2" s="12"/>
      <c r="K2" s="12" t="s">
        <v>128</v>
      </c>
      <c r="L2" s="20">
        <v>685</v>
      </c>
      <c r="M2" s="21">
        <v>9722987.5173045583</v>
      </c>
      <c r="N2" s="21"/>
      <c r="O2" s="21">
        <v>0</v>
      </c>
      <c r="P2" s="21">
        <v>9722987.5173045602</v>
      </c>
      <c r="Q2" s="21">
        <f>M2-O2</f>
        <v>9722987.5173045583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f>SUM(S2:Z2)</f>
        <v>0</v>
      </c>
      <c r="AB2" s="21">
        <f>AA2+R2</f>
        <v>0</v>
      </c>
      <c r="AC2" s="21">
        <f>O2-AB2</f>
        <v>0</v>
      </c>
      <c r="AD2" s="21">
        <f>Q2+AC2</f>
        <v>9722987.5173045583</v>
      </c>
      <c r="AE2" s="12" t="s">
        <v>154</v>
      </c>
    </row>
    <row r="3" spans="1:32" ht="15.6" hidden="1" x14ac:dyDescent="0.3">
      <c r="A3" s="12" t="s">
        <v>124</v>
      </c>
      <c r="B3" s="12">
        <v>2026</v>
      </c>
      <c r="C3" s="12" t="s">
        <v>126</v>
      </c>
      <c r="D3" s="12" t="s">
        <v>159</v>
      </c>
      <c r="E3" s="12">
        <v>16844</v>
      </c>
      <c r="F3" s="13" t="s">
        <v>157</v>
      </c>
      <c r="G3" s="13">
        <v>1</v>
      </c>
      <c r="H3" s="12" t="s">
        <v>156</v>
      </c>
      <c r="I3" s="12" t="s">
        <v>54</v>
      </c>
      <c r="J3" s="12"/>
      <c r="K3" s="12" t="s">
        <v>54</v>
      </c>
      <c r="L3" s="20">
        <v>0</v>
      </c>
      <c r="M3" s="21">
        <v>15679840</v>
      </c>
      <c r="N3" s="21"/>
      <c r="O3" s="21">
        <v>0</v>
      </c>
      <c r="P3" s="21">
        <v>15679840</v>
      </c>
      <c r="Q3" s="21">
        <f t="shared" ref="Q3:Q68" si="0">M3-O3</f>
        <v>15679840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f t="shared" ref="AA3:AA68" si="1">SUM(S3:Z3)</f>
        <v>0</v>
      </c>
      <c r="AB3" s="21">
        <f t="shared" ref="AB3:AB68" si="2">AA3+R3</f>
        <v>0</v>
      </c>
      <c r="AC3" s="21">
        <f t="shared" ref="AC3:AC68" si="3">O3-AB3</f>
        <v>0</v>
      </c>
      <c r="AD3" s="21">
        <f t="shared" ref="AD3:AD68" si="4">Q3+AC3</f>
        <v>15679840</v>
      </c>
      <c r="AE3" s="12" t="s">
        <v>154</v>
      </c>
    </row>
    <row r="4" spans="1:32" ht="15.6" hidden="1" x14ac:dyDescent="0.3">
      <c r="A4" s="28" t="s">
        <v>167</v>
      </c>
      <c r="B4" s="28">
        <v>2026</v>
      </c>
      <c r="C4" s="28" t="s">
        <v>126</v>
      </c>
      <c r="D4" s="28" t="s">
        <v>159</v>
      </c>
      <c r="E4" s="28">
        <v>16844</v>
      </c>
      <c r="F4" s="29" t="s">
        <v>157</v>
      </c>
      <c r="G4" s="29">
        <v>1</v>
      </c>
      <c r="H4" s="28" t="s">
        <v>166</v>
      </c>
      <c r="I4" s="28" t="s">
        <v>54</v>
      </c>
      <c r="J4" s="28"/>
      <c r="K4" s="28" t="s">
        <v>54</v>
      </c>
      <c r="L4" s="30">
        <v>0</v>
      </c>
      <c r="M4" s="31">
        <v>10657110.200000003</v>
      </c>
      <c r="N4" s="31"/>
      <c r="O4" s="31">
        <v>0</v>
      </c>
      <c r="P4" s="31">
        <v>10657110.200000003</v>
      </c>
      <c r="Q4" s="31">
        <f t="shared" si="0"/>
        <v>10657110.200000003</v>
      </c>
      <c r="R4" s="31"/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f t="shared" si="1"/>
        <v>0</v>
      </c>
      <c r="AB4" s="31">
        <f t="shared" si="2"/>
        <v>0</v>
      </c>
      <c r="AC4" s="31">
        <f t="shared" si="3"/>
        <v>0</v>
      </c>
      <c r="AD4" s="31">
        <f t="shared" si="4"/>
        <v>10657110.200000003</v>
      </c>
      <c r="AE4" s="28" t="s">
        <v>154</v>
      </c>
    </row>
    <row r="5" spans="1:32" ht="15.6" hidden="1" x14ac:dyDescent="0.3">
      <c r="A5" s="32" t="s">
        <v>125</v>
      </c>
      <c r="B5" s="32">
        <v>2026</v>
      </c>
      <c r="C5" s="32" t="s">
        <v>126</v>
      </c>
      <c r="D5" s="32" t="s">
        <v>159</v>
      </c>
      <c r="E5" s="32">
        <v>16340</v>
      </c>
      <c r="F5" s="33" t="s">
        <v>157</v>
      </c>
      <c r="G5" s="33">
        <v>1</v>
      </c>
      <c r="H5" s="32" t="s">
        <v>168</v>
      </c>
      <c r="I5" s="32"/>
      <c r="J5" s="32"/>
      <c r="K5" s="32"/>
      <c r="L5" s="34">
        <v>0</v>
      </c>
      <c r="M5" s="35">
        <v>2200000</v>
      </c>
      <c r="N5" s="35"/>
      <c r="O5" s="35"/>
      <c r="P5" s="35"/>
      <c r="Q5" s="35">
        <f t="shared" si="0"/>
        <v>2200000</v>
      </c>
      <c r="R5" s="35"/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f t="shared" si="1"/>
        <v>0</v>
      </c>
      <c r="AB5" s="35">
        <f t="shared" si="2"/>
        <v>0</v>
      </c>
      <c r="AC5" s="35">
        <f t="shared" si="3"/>
        <v>0</v>
      </c>
      <c r="AD5" s="35">
        <f t="shared" si="4"/>
        <v>2200000</v>
      </c>
      <c r="AE5" s="32" t="s">
        <v>155</v>
      </c>
    </row>
    <row r="6" spans="1:32" ht="15.6" hidden="1" x14ac:dyDescent="0.3">
      <c r="A6" s="32" t="s">
        <v>125</v>
      </c>
      <c r="B6" s="32">
        <v>2027</v>
      </c>
      <c r="C6" s="32" t="s">
        <v>126</v>
      </c>
      <c r="D6" s="32" t="s">
        <v>159</v>
      </c>
      <c r="E6" s="32">
        <v>16340</v>
      </c>
      <c r="F6" s="33" t="s">
        <v>157</v>
      </c>
      <c r="G6" s="33">
        <v>1</v>
      </c>
      <c r="H6" s="32" t="s">
        <v>170</v>
      </c>
      <c r="I6" s="32"/>
      <c r="J6" s="32"/>
      <c r="K6" s="32"/>
      <c r="L6" s="34">
        <v>0</v>
      </c>
      <c r="M6" s="35">
        <v>1800000</v>
      </c>
      <c r="N6" s="35"/>
      <c r="O6" s="35"/>
      <c r="P6" s="35"/>
      <c r="Q6" s="35">
        <f t="shared" si="0"/>
        <v>1800000</v>
      </c>
      <c r="R6" s="35"/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f t="shared" si="1"/>
        <v>0</v>
      </c>
      <c r="AB6" s="35">
        <f t="shared" si="2"/>
        <v>0</v>
      </c>
      <c r="AC6" s="35">
        <f t="shared" si="3"/>
        <v>0</v>
      </c>
      <c r="AD6" s="35">
        <f t="shared" si="4"/>
        <v>1800000</v>
      </c>
      <c r="AE6" s="32" t="s">
        <v>155</v>
      </c>
    </row>
    <row r="7" spans="1:32" ht="15.6" hidden="1" x14ac:dyDescent="0.3">
      <c r="A7" s="32" t="s">
        <v>125</v>
      </c>
      <c r="B7" s="32">
        <v>2028</v>
      </c>
      <c r="C7" s="32" t="s">
        <v>126</v>
      </c>
      <c r="D7" s="32" t="s">
        <v>159</v>
      </c>
      <c r="E7" s="32">
        <v>16341</v>
      </c>
      <c r="F7" s="33" t="s">
        <v>157</v>
      </c>
      <c r="G7" s="33">
        <v>2</v>
      </c>
      <c r="H7" s="32" t="s">
        <v>171</v>
      </c>
      <c r="I7" s="32"/>
      <c r="J7" s="32"/>
      <c r="K7" s="32"/>
      <c r="L7" s="34">
        <v>0</v>
      </c>
      <c r="M7" s="35">
        <v>4500000</v>
      </c>
      <c r="N7" s="35">
        <f>344000+1500000+1439794</f>
        <v>3283794</v>
      </c>
      <c r="O7" s="35">
        <v>0</v>
      </c>
      <c r="P7" s="35"/>
      <c r="Q7" s="35">
        <f>M7-O7</f>
        <v>4500000</v>
      </c>
      <c r="R7" s="35"/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f t="shared" si="1"/>
        <v>0</v>
      </c>
      <c r="AB7" s="35">
        <f t="shared" si="2"/>
        <v>0</v>
      </c>
      <c r="AC7" s="35">
        <f t="shared" si="3"/>
        <v>0</v>
      </c>
      <c r="AD7" s="35">
        <f t="shared" si="4"/>
        <v>4500000</v>
      </c>
      <c r="AE7" s="32" t="s">
        <v>154</v>
      </c>
    </row>
    <row r="8" spans="1:32" ht="15.6" hidden="1" x14ac:dyDescent="0.3">
      <c r="A8" s="12" t="s">
        <v>125</v>
      </c>
      <c r="B8" s="12">
        <v>2026</v>
      </c>
      <c r="C8" s="12" t="s">
        <v>126</v>
      </c>
      <c r="D8" s="12" t="s">
        <v>159</v>
      </c>
      <c r="E8" s="12">
        <v>16879</v>
      </c>
      <c r="F8" s="13" t="s">
        <v>157</v>
      </c>
      <c r="G8" s="13">
        <v>3</v>
      </c>
      <c r="H8" s="12" t="s">
        <v>129</v>
      </c>
      <c r="I8" s="12" t="s">
        <v>130</v>
      </c>
      <c r="J8" s="12"/>
      <c r="K8" s="12" t="s">
        <v>131</v>
      </c>
      <c r="L8" s="20">
        <v>7473</v>
      </c>
      <c r="M8" s="21">
        <v>5754824.6899999995</v>
      </c>
      <c r="N8" s="21"/>
      <c r="O8" s="21">
        <v>0</v>
      </c>
      <c r="P8" s="21">
        <v>5754824.6899999995</v>
      </c>
      <c r="Q8" s="21">
        <f t="shared" si="0"/>
        <v>5754824.6899999995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f t="shared" si="1"/>
        <v>0</v>
      </c>
      <c r="AB8" s="21">
        <f t="shared" si="2"/>
        <v>0</v>
      </c>
      <c r="AC8" s="21">
        <f t="shared" si="3"/>
        <v>0</v>
      </c>
      <c r="AD8" s="21">
        <f t="shared" si="4"/>
        <v>5754824.6899999995</v>
      </c>
      <c r="AE8" s="12" t="s">
        <v>155</v>
      </c>
    </row>
    <row r="9" spans="1:32" ht="15.6" hidden="1" x14ac:dyDescent="0.3">
      <c r="A9" s="12" t="s">
        <v>133</v>
      </c>
      <c r="B9" s="12">
        <v>2026</v>
      </c>
      <c r="C9" s="12" t="s">
        <v>160</v>
      </c>
      <c r="D9" s="12" t="s">
        <v>37</v>
      </c>
      <c r="E9" s="12">
        <v>16879</v>
      </c>
      <c r="F9" s="13" t="s">
        <v>23</v>
      </c>
      <c r="G9" s="13">
        <v>1</v>
      </c>
      <c r="H9" s="12" t="s">
        <v>24</v>
      </c>
      <c r="I9" s="12" t="s">
        <v>99</v>
      </c>
      <c r="J9" s="12"/>
      <c r="K9" s="12" t="s">
        <v>134</v>
      </c>
      <c r="L9" s="20">
        <v>315</v>
      </c>
      <c r="M9" s="21">
        <v>1322168.2679789499</v>
      </c>
      <c r="N9" s="21"/>
      <c r="O9" s="21">
        <v>0</v>
      </c>
      <c r="P9" s="21">
        <v>1322168.2679789499</v>
      </c>
      <c r="Q9" s="21">
        <f t="shared" si="0"/>
        <v>1322168.2679789499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f t="shared" si="1"/>
        <v>0</v>
      </c>
      <c r="AB9" s="21">
        <f t="shared" si="2"/>
        <v>0</v>
      </c>
      <c r="AC9" s="21">
        <f t="shared" si="3"/>
        <v>0</v>
      </c>
      <c r="AD9" s="21">
        <f t="shared" si="4"/>
        <v>1322168.2679789499</v>
      </c>
      <c r="AE9" s="12" t="s">
        <v>154</v>
      </c>
      <c r="AF9" s="15"/>
    </row>
    <row r="10" spans="1:32" ht="15.6" hidden="1" x14ac:dyDescent="0.3">
      <c r="A10" s="12" t="s">
        <v>133</v>
      </c>
      <c r="B10" s="12">
        <v>2026</v>
      </c>
      <c r="C10" s="12" t="s">
        <v>160</v>
      </c>
      <c r="D10" s="12" t="s">
        <v>37</v>
      </c>
      <c r="E10" s="12">
        <v>16879</v>
      </c>
      <c r="F10" s="13" t="s">
        <v>23</v>
      </c>
      <c r="G10" s="13">
        <v>2</v>
      </c>
      <c r="H10" s="12" t="s">
        <v>24</v>
      </c>
      <c r="I10" s="12" t="s">
        <v>99</v>
      </c>
      <c r="J10" s="12"/>
      <c r="K10" s="12" t="s">
        <v>135</v>
      </c>
      <c r="L10" s="20">
        <v>200</v>
      </c>
      <c r="M10" s="21">
        <v>1369499.0316022099</v>
      </c>
      <c r="N10" s="21"/>
      <c r="O10" s="21">
        <v>0</v>
      </c>
      <c r="P10" s="21">
        <v>1369499.0316022099</v>
      </c>
      <c r="Q10" s="21">
        <f t="shared" si="0"/>
        <v>1369499.0316022099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f t="shared" si="1"/>
        <v>0</v>
      </c>
      <c r="AB10" s="21">
        <f t="shared" si="2"/>
        <v>0</v>
      </c>
      <c r="AC10" s="21">
        <f t="shared" si="3"/>
        <v>0</v>
      </c>
      <c r="AD10" s="21">
        <f t="shared" si="4"/>
        <v>1369499.0316022099</v>
      </c>
      <c r="AE10" s="12" t="s">
        <v>154</v>
      </c>
    </row>
    <row r="11" spans="1:32" ht="15.6" hidden="1" x14ac:dyDescent="0.3">
      <c r="A11" s="12" t="s">
        <v>133</v>
      </c>
      <c r="B11" s="12">
        <v>2026</v>
      </c>
      <c r="C11" s="12" t="s">
        <v>160</v>
      </c>
      <c r="D11" s="12" t="s">
        <v>37</v>
      </c>
      <c r="E11" s="12">
        <v>16879</v>
      </c>
      <c r="F11" s="13" t="s">
        <v>23</v>
      </c>
      <c r="G11" s="13">
        <v>3</v>
      </c>
      <c r="H11" s="12" t="s">
        <v>24</v>
      </c>
      <c r="I11" s="12" t="s">
        <v>99</v>
      </c>
      <c r="J11" s="12"/>
      <c r="K11" s="12" t="s">
        <v>136</v>
      </c>
      <c r="L11" s="20">
        <v>225</v>
      </c>
      <c r="M11" s="21">
        <v>1283296.94</v>
      </c>
      <c r="N11" s="21"/>
      <c r="O11" s="21">
        <v>0</v>
      </c>
      <c r="P11" s="21">
        <v>1283296.94</v>
      </c>
      <c r="Q11" s="21">
        <f t="shared" si="0"/>
        <v>1283296.94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f t="shared" si="1"/>
        <v>0</v>
      </c>
      <c r="AB11" s="21">
        <f t="shared" si="2"/>
        <v>0</v>
      </c>
      <c r="AC11" s="21">
        <f t="shared" si="3"/>
        <v>0</v>
      </c>
      <c r="AD11" s="21">
        <f t="shared" si="4"/>
        <v>1283296.94</v>
      </c>
      <c r="AE11" s="12" t="s">
        <v>154</v>
      </c>
    </row>
    <row r="12" spans="1:32" ht="15.6" hidden="1" x14ac:dyDescent="0.3">
      <c r="A12" s="12" t="s">
        <v>133</v>
      </c>
      <c r="B12" s="12">
        <v>2026</v>
      </c>
      <c r="C12" s="12" t="s">
        <v>160</v>
      </c>
      <c r="D12" s="12" t="s">
        <v>37</v>
      </c>
      <c r="E12" s="12">
        <v>16879</v>
      </c>
      <c r="F12" s="13" t="s">
        <v>23</v>
      </c>
      <c r="G12" s="13">
        <v>4</v>
      </c>
      <c r="H12" s="12" t="s">
        <v>24</v>
      </c>
      <c r="I12" s="12" t="s">
        <v>99</v>
      </c>
      <c r="J12" s="12"/>
      <c r="K12" s="12" t="s">
        <v>137</v>
      </c>
      <c r="L12" s="20">
        <v>800</v>
      </c>
      <c r="M12" s="21">
        <v>3364579.1399999997</v>
      </c>
      <c r="N12" s="21"/>
      <c r="O12" s="21">
        <v>0</v>
      </c>
      <c r="P12" s="21">
        <v>3364579.1399999997</v>
      </c>
      <c r="Q12" s="21">
        <f t="shared" si="0"/>
        <v>3364579.1399999997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f t="shared" si="1"/>
        <v>0</v>
      </c>
      <c r="AB12" s="21">
        <f t="shared" si="2"/>
        <v>0</v>
      </c>
      <c r="AC12" s="21">
        <f t="shared" si="3"/>
        <v>0</v>
      </c>
      <c r="AD12" s="21">
        <f t="shared" si="4"/>
        <v>3364579.1399999997</v>
      </c>
      <c r="AE12" s="12" t="s">
        <v>154</v>
      </c>
    </row>
    <row r="13" spans="1:32" ht="15.6" hidden="1" x14ac:dyDescent="0.3">
      <c r="A13" s="12" t="s">
        <v>133</v>
      </c>
      <c r="B13" s="12">
        <v>2026</v>
      </c>
      <c r="C13" s="12" t="s">
        <v>160</v>
      </c>
      <c r="D13" s="12" t="s">
        <v>37</v>
      </c>
      <c r="E13" s="12">
        <v>16879</v>
      </c>
      <c r="F13" s="13" t="s">
        <v>53</v>
      </c>
      <c r="G13" s="13">
        <v>1</v>
      </c>
      <c r="H13" s="12" t="s">
        <v>24</v>
      </c>
      <c r="I13" s="12" t="s">
        <v>117</v>
      </c>
      <c r="J13" s="12"/>
      <c r="K13" s="12" t="s">
        <v>141</v>
      </c>
      <c r="L13" s="20">
        <v>200</v>
      </c>
      <c r="M13" s="21">
        <v>1900495.7</v>
      </c>
      <c r="N13" s="21"/>
      <c r="O13" s="21">
        <v>0</v>
      </c>
      <c r="P13" s="21">
        <v>1900495.7</v>
      </c>
      <c r="Q13" s="21">
        <f t="shared" si="0"/>
        <v>1900495.7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f t="shared" si="1"/>
        <v>0</v>
      </c>
      <c r="AB13" s="21">
        <f t="shared" si="2"/>
        <v>0</v>
      </c>
      <c r="AC13" s="21">
        <f t="shared" si="3"/>
        <v>0</v>
      </c>
      <c r="AD13" s="21">
        <f t="shared" si="4"/>
        <v>1900495.7</v>
      </c>
      <c r="AE13" s="12" t="s">
        <v>154</v>
      </c>
    </row>
    <row r="14" spans="1:32" ht="15.6" hidden="1" x14ac:dyDescent="0.3">
      <c r="A14" s="12" t="s">
        <v>133</v>
      </c>
      <c r="B14" s="12">
        <v>2026</v>
      </c>
      <c r="C14" s="12" t="s">
        <v>160</v>
      </c>
      <c r="D14" s="12" t="s">
        <v>37</v>
      </c>
      <c r="E14" s="12">
        <v>16879</v>
      </c>
      <c r="F14" s="13" t="s">
        <v>53</v>
      </c>
      <c r="G14" s="13">
        <v>2</v>
      </c>
      <c r="H14" s="12" t="s">
        <v>24</v>
      </c>
      <c r="I14" s="12" t="s">
        <v>117</v>
      </c>
      <c r="J14" s="12"/>
      <c r="K14" s="12" t="s">
        <v>140</v>
      </c>
      <c r="L14" s="20">
        <v>400</v>
      </c>
      <c r="M14" s="21">
        <v>3038240.0599999996</v>
      </c>
      <c r="N14" s="21"/>
      <c r="O14" s="21">
        <v>0</v>
      </c>
      <c r="P14" s="21">
        <v>3038240.0599999996</v>
      </c>
      <c r="Q14" s="21">
        <f t="shared" si="0"/>
        <v>3038240.0599999996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f t="shared" si="1"/>
        <v>0</v>
      </c>
      <c r="AB14" s="21">
        <f t="shared" si="2"/>
        <v>0</v>
      </c>
      <c r="AC14" s="21">
        <f t="shared" si="3"/>
        <v>0</v>
      </c>
      <c r="AD14" s="21">
        <f t="shared" si="4"/>
        <v>3038240.0599999996</v>
      </c>
      <c r="AE14" s="12" t="s">
        <v>154</v>
      </c>
    </row>
    <row r="15" spans="1:32" ht="15.6" x14ac:dyDescent="0.3">
      <c r="A15" s="12" t="s">
        <v>133</v>
      </c>
      <c r="B15" s="12">
        <v>2026</v>
      </c>
      <c r="C15" s="12" t="s">
        <v>160</v>
      </c>
      <c r="D15" s="12" t="s">
        <v>165</v>
      </c>
      <c r="E15" s="12">
        <v>16879</v>
      </c>
      <c r="F15" s="13" t="s">
        <v>42</v>
      </c>
      <c r="G15" s="13">
        <v>1</v>
      </c>
      <c r="H15" s="12" t="s">
        <v>142</v>
      </c>
      <c r="I15" s="12" t="s">
        <v>107</v>
      </c>
      <c r="J15" s="12"/>
      <c r="K15" s="12" t="s">
        <v>144</v>
      </c>
      <c r="L15" s="20">
        <v>1000</v>
      </c>
      <c r="M15" s="21">
        <v>4561600.7837957228</v>
      </c>
      <c r="N15" s="21"/>
      <c r="O15" s="21">
        <v>0</v>
      </c>
      <c r="P15" s="21">
        <v>4561600.7837957228</v>
      </c>
      <c r="Q15" s="21">
        <f t="shared" si="0"/>
        <v>4561600.7837957228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f t="shared" si="1"/>
        <v>0</v>
      </c>
      <c r="AB15" s="21">
        <f t="shared" si="2"/>
        <v>0</v>
      </c>
      <c r="AC15" s="21">
        <f t="shared" si="3"/>
        <v>0</v>
      </c>
      <c r="AD15" s="21">
        <f t="shared" si="4"/>
        <v>4561600.7837957228</v>
      </c>
      <c r="AE15" s="12" t="s">
        <v>154</v>
      </c>
    </row>
    <row r="16" spans="1:32" ht="15.6" x14ac:dyDescent="0.3">
      <c r="A16" s="12" t="s">
        <v>133</v>
      </c>
      <c r="B16" s="12">
        <v>2026</v>
      </c>
      <c r="C16" s="12" t="s">
        <v>160</v>
      </c>
      <c r="D16" s="12" t="s">
        <v>165</v>
      </c>
      <c r="E16" s="12">
        <v>16879</v>
      </c>
      <c r="F16" s="13" t="s">
        <v>42</v>
      </c>
      <c r="G16" s="13">
        <v>2</v>
      </c>
      <c r="H16" s="12" t="s">
        <v>143</v>
      </c>
      <c r="I16" s="12" t="s">
        <v>107</v>
      </c>
      <c r="J16" s="12"/>
      <c r="K16" s="12" t="s">
        <v>144</v>
      </c>
      <c r="L16" s="20">
        <v>1000</v>
      </c>
      <c r="M16" s="21">
        <v>4561600.7837957228</v>
      </c>
      <c r="N16" s="21"/>
      <c r="O16" s="21">
        <v>0</v>
      </c>
      <c r="P16" s="21">
        <v>4561600.7837957228</v>
      </c>
      <c r="Q16" s="21">
        <f t="shared" si="0"/>
        <v>4561600.7837957228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f t="shared" si="1"/>
        <v>0</v>
      </c>
      <c r="AB16" s="21">
        <f t="shared" si="2"/>
        <v>0</v>
      </c>
      <c r="AC16" s="21">
        <f t="shared" si="3"/>
        <v>0</v>
      </c>
      <c r="AD16" s="21">
        <f t="shared" si="4"/>
        <v>4561600.7837957228</v>
      </c>
      <c r="AE16" s="12" t="s">
        <v>154</v>
      </c>
    </row>
    <row r="17" spans="1:31" ht="15.6" hidden="1" x14ac:dyDescent="0.3">
      <c r="A17" s="12" t="s">
        <v>22</v>
      </c>
      <c r="B17" s="12">
        <v>2025</v>
      </c>
      <c r="C17" s="12" t="s">
        <v>160</v>
      </c>
      <c r="D17" s="12" t="s">
        <v>122</v>
      </c>
      <c r="E17" s="13">
        <v>16340</v>
      </c>
      <c r="F17" s="13" t="s">
        <v>23</v>
      </c>
      <c r="G17" s="1">
        <v>1</v>
      </c>
      <c r="H17" s="2" t="s">
        <v>24</v>
      </c>
      <c r="I17" s="2" t="s">
        <v>25</v>
      </c>
      <c r="J17" s="2"/>
      <c r="K17" s="2" t="s">
        <v>26</v>
      </c>
      <c r="L17" s="25">
        <v>2010</v>
      </c>
      <c r="M17" s="3">
        <v>225612.52740823478</v>
      </c>
      <c r="N17" s="3"/>
      <c r="O17" s="11">
        <v>231263.29</v>
      </c>
      <c r="P17" s="11"/>
      <c r="Q17" s="21">
        <f t="shared" si="0"/>
        <v>-5650.7625917652331</v>
      </c>
      <c r="R17" s="3">
        <f t="shared" ref="R17:R37" si="5">O17*20%</f>
        <v>46252.658000000003</v>
      </c>
      <c r="S17" s="22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1">
        <f t="shared" si="1"/>
        <v>0</v>
      </c>
      <c r="AB17" s="21">
        <f t="shared" si="2"/>
        <v>46252.658000000003</v>
      </c>
      <c r="AC17" s="21">
        <f t="shared" si="3"/>
        <v>185010.63200000001</v>
      </c>
      <c r="AD17" s="21">
        <f t="shared" si="4"/>
        <v>179359.86940823478</v>
      </c>
      <c r="AE17" s="12" t="s">
        <v>154</v>
      </c>
    </row>
    <row r="18" spans="1:31" ht="15.6" hidden="1" x14ac:dyDescent="0.3">
      <c r="A18" s="12" t="s">
        <v>22</v>
      </c>
      <c r="B18" s="12">
        <v>2025</v>
      </c>
      <c r="C18" s="12" t="s">
        <v>160</v>
      </c>
      <c r="D18" s="12" t="s">
        <v>122</v>
      </c>
      <c r="E18" s="13">
        <v>16340</v>
      </c>
      <c r="F18" s="13" t="s">
        <v>23</v>
      </c>
      <c r="G18" s="1">
        <v>2</v>
      </c>
      <c r="H18" s="2" t="s">
        <v>24</v>
      </c>
      <c r="I18" s="2" t="s">
        <v>25</v>
      </c>
      <c r="J18" s="2"/>
      <c r="K18" s="2" t="s">
        <v>27</v>
      </c>
      <c r="L18" s="25">
        <v>570</v>
      </c>
      <c r="M18" s="3">
        <v>4074815.4680292024</v>
      </c>
      <c r="N18" s="3"/>
      <c r="O18" s="11">
        <v>4023612.21</v>
      </c>
      <c r="P18" s="11"/>
      <c r="Q18" s="21">
        <f t="shared" si="0"/>
        <v>51203.258029202465</v>
      </c>
      <c r="R18" s="3">
        <f t="shared" si="5"/>
        <v>804722.44200000004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1">
        <f t="shared" si="1"/>
        <v>0</v>
      </c>
      <c r="AB18" s="21">
        <f t="shared" si="2"/>
        <v>804722.44200000004</v>
      </c>
      <c r="AC18" s="21">
        <f t="shared" si="3"/>
        <v>3218889.7680000002</v>
      </c>
      <c r="AD18" s="21">
        <f t="shared" si="4"/>
        <v>3270093.0260292026</v>
      </c>
      <c r="AE18" s="12" t="s">
        <v>154</v>
      </c>
    </row>
    <row r="19" spans="1:31" ht="15.6" hidden="1" x14ac:dyDescent="0.3">
      <c r="A19" s="12" t="s">
        <v>22</v>
      </c>
      <c r="B19" s="12">
        <v>2025</v>
      </c>
      <c r="C19" s="12" t="s">
        <v>160</v>
      </c>
      <c r="D19" s="12" t="s">
        <v>122</v>
      </c>
      <c r="E19" s="13">
        <v>16340</v>
      </c>
      <c r="F19" s="13" t="s">
        <v>23</v>
      </c>
      <c r="G19" s="1">
        <v>3</v>
      </c>
      <c r="H19" s="2" t="s">
        <v>24</v>
      </c>
      <c r="I19" s="2" t="s">
        <v>25</v>
      </c>
      <c r="J19" s="2"/>
      <c r="K19" s="4" t="s">
        <v>28</v>
      </c>
      <c r="L19" s="25">
        <v>36</v>
      </c>
      <c r="M19" s="3">
        <v>511793.93667326478</v>
      </c>
      <c r="N19" s="3"/>
      <c r="O19" s="11">
        <v>523486.66</v>
      </c>
      <c r="P19" s="11"/>
      <c r="Q19" s="21">
        <f t="shared" si="0"/>
        <v>-11692.723326735198</v>
      </c>
      <c r="R19" s="3">
        <f t="shared" si="5"/>
        <v>104697.33199999999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1">
        <f t="shared" si="1"/>
        <v>0</v>
      </c>
      <c r="AB19" s="21">
        <f t="shared" si="2"/>
        <v>104697.33199999999</v>
      </c>
      <c r="AC19" s="21">
        <f t="shared" si="3"/>
        <v>418789.32799999998</v>
      </c>
      <c r="AD19" s="21">
        <f t="shared" si="4"/>
        <v>407096.60467326478</v>
      </c>
      <c r="AE19" s="12" t="s">
        <v>154</v>
      </c>
    </row>
    <row r="20" spans="1:31" ht="15.6" hidden="1" x14ac:dyDescent="0.3">
      <c r="A20" s="12" t="s">
        <v>22</v>
      </c>
      <c r="B20" s="12">
        <v>2025</v>
      </c>
      <c r="C20" s="12" t="s">
        <v>160</v>
      </c>
      <c r="D20" s="12" t="s">
        <v>122</v>
      </c>
      <c r="E20" s="13">
        <v>16340</v>
      </c>
      <c r="F20" s="13" t="s">
        <v>23</v>
      </c>
      <c r="G20" s="1">
        <v>4</v>
      </c>
      <c r="H20" s="2" t="s">
        <v>24</v>
      </c>
      <c r="I20" s="2" t="s">
        <v>25</v>
      </c>
      <c r="J20" s="2"/>
      <c r="K20" s="2" t="s">
        <v>29</v>
      </c>
      <c r="L20" s="25">
        <v>141</v>
      </c>
      <c r="M20" s="3">
        <v>2438230.125270857</v>
      </c>
      <c r="N20" s="3"/>
      <c r="O20" s="11">
        <v>2292599.09</v>
      </c>
      <c r="P20" s="11"/>
      <c r="Q20" s="21">
        <f t="shared" si="0"/>
        <v>145631.03527085716</v>
      </c>
      <c r="R20" s="3">
        <f t="shared" si="5"/>
        <v>458519.81799999997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1">
        <f t="shared" si="1"/>
        <v>0</v>
      </c>
      <c r="AB20" s="21">
        <f t="shared" si="2"/>
        <v>458519.81799999997</v>
      </c>
      <c r="AC20" s="21">
        <f t="shared" si="3"/>
        <v>1834079.2719999999</v>
      </c>
      <c r="AD20" s="21">
        <f t="shared" si="4"/>
        <v>1979710.307270857</v>
      </c>
      <c r="AE20" s="12" t="s">
        <v>154</v>
      </c>
    </row>
    <row r="21" spans="1:31" ht="15.6" hidden="1" x14ac:dyDescent="0.3">
      <c r="A21" s="12" t="s">
        <v>22</v>
      </c>
      <c r="B21" s="12">
        <v>2025</v>
      </c>
      <c r="C21" s="12" t="s">
        <v>160</v>
      </c>
      <c r="D21" s="12" t="s">
        <v>122</v>
      </c>
      <c r="E21" s="13">
        <v>16340</v>
      </c>
      <c r="F21" s="13" t="s">
        <v>23</v>
      </c>
      <c r="G21" s="1">
        <v>5</v>
      </c>
      <c r="H21" s="2" t="s">
        <v>24</v>
      </c>
      <c r="I21" s="2" t="s">
        <v>25</v>
      </c>
      <c r="J21" s="2"/>
      <c r="K21" s="2" t="s">
        <v>30</v>
      </c>
      <c r="L21" s="25">
        <v>30</v>
      </c>
      <c r="M21" s="3">
        <v>388955.64060050389</v>
      </c>
      <c r="N21" s="3"/>
      <c r="O21" s="11">
        <v>404519.67</v>
      </c>
      <c r="P21" s="11"/>
      <c r="Q21" s="21">
        <f t="shared" si="0"/>
        <v>-15564.029399496096</v>
      </c>
      <c r="R21" s="3">
        <f t="shared" si="5"/>
        <v>80903.934000000008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1">
        <f t="shared" si="1"/>
        <v>0</v>
      </c>
      <c r="AB21" s="21">
        <f t="shared" si="2"/>
        <v>80903.934000000008</v>
      </c>
      <c r="AC21" s="21">
        <f t="shared" si="3"/>
        <v>323615.73599999998</v>
      </c>
      <c r="AD21" s="21">
        <f t="shared" si="4"/>
        <v>308051.70660050388</v>
      </c>
      <c r="AE21" s="12" t="s">
        <v>154</v>
      </c>
    </row>
    <row r="22" spans="1:31" ht="15.6" hidden="1" x14ac:dyDescent="0.3">
      <c r="A22" s="12" t="s">
        <v>22</v>
      </c>
      <c r="B22" s="12">
        <v>2025</v>
      </c>
      <c r="C22" s="12" t="s">
        <v>160</v>
      </c>
      <c r="D22" s="12" t="s">
        <v>122</v>
      </c>
      <c r="E22" s="13">
        <v>16340</v>
      </c>
      <c r="F22" s="13" t="s">
        <v>23</v>
      </c>
      <c r="G22" s="1">
        <v>6</v>
      </c>
      <c r="H22" s="2" t="s">
        <v>24</v>
      </c>
      <c r="I22" s="2" t="s">
        <v>25</v>
      </c>
      <c r="J22" s="2"/>
      <c r="K22" s="2" t="s">
        <v>31</v>
      </c>
      <c r="L22" s="25">
        <v>30</v>
      </c>
      <c r="M22" s="3">
        <v>342061.56774935964</v>
      </c>
      <c r="N22" s="3"/>
      <c r="O22" s="11">
        <v>360198.56</v>
      </c>
      <c r="P22" s="11"/>
      <c r="Q22" s="21">
        <f t="shared" si="0"/>
        <v>-18136.992250640353</v>
      </c>
      <c r="R22" s="3">
        <f t="shared" si="5"/>
        <v>72039.712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1">
        <f t="shared" si="1"/>
        <v>0</v>
      </c>
      <c r="AB22" s="21">
        <f t="shared" si="2"/>
        <v>72039.712</v>
      </c>
      <c r="AC22" s="21">
        <f t="shared" si="3"/>
        <v>288158.848</v>
      </c>
      <c r="AD22" s="21">
        <f t="shared" si="4"/>
        <v>270021.85574935965</v>
      </c>
      <c r="AE22" s="12" t="s">
        <v>154</v>
      </c>
    </row>
    <row r="23" spans="1:31" ht="15.6" hidden="1" x14ac:dyDescent="0.3">
      <c r="A23" s="12" t="s">
        <v>22</v>
      </c>
      <c r="B23" s="12">
        <v>2025</v>
      </c>
      <c r="C23" s="12" t="s">
        <v>160</v>
      </c>
      <c r="D23" s="12" t="s">
        <v>122</v>
      </c>
      <c r="E23" s="13">
        <v>16340</v>
      </c>
      <c r="F23" s="13" t="s">
        <v>23</v>
      </c>
      <c r="G23" s="1">
        <v>7</v>
      </c>
      <c r="H23" s="2" t="s">
        <v>24</v>
      </c>
      <c r="I23" s="2" t="s">
        <v>25</v>
      </c>
      <c r="J23" s="2"/>
      <c r="K23" s="2" t="s">
        <v>32</v>
      </c>
      <c r="L23" s="25">
        <v>45</v>
      </c>
      <c r="M23" s="3">
        <v>443175.57263818232</v>
      </c>
      <c r="N23" s="3"/>
      <c r="O23" s="11">
        <v>453564.99</v>
      </c>
      <c r="P23" s="11"/>
      <c r="Q23" s="21">
        <f t="shared" si="0"/>
        <v>-10389.417361817672</v>
      </c>
      <c r="R23" s="3">
        <f t="shared" si="5"/>
        <v>90712.998000000007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1">
        <f t="shared" si="1"/>
        <v>0</v>
      </c>
      <c r="AB23" s="21">
        <f t="shared" si="2"/>
        <v>90712.998000000007</v>
      </c>
      <c r="AC23" s="21">
        <f t="shared" si="3"/>
        <v>362851.99199999997</v>
      </c>
      <c r="AD23" s="21">
        <f t="shared" si="4"/>
        <v>352462.5746381823</v>
      </c>
      <c r="AE23" s="12" t="s">
        <v>154</v>
      </c>
    </row>
    <row r="24" spans="1:31" ht="31.2" hidden="1" x14ac:dyDescent="0.3">
      <c r="A24" s="12" t="s">
        <v>22</v>
      </c>
      <c r="B24" s="12">
        <v>2025</v>
      </c>
      <c r="C24" s="12" t="s">
        <v>160</v>
      </c>
      <c r="D24" s="12" t="s">
        <v>122</v>
      </c>
      <c r="E24" s="13">
        <v>16340</v>
      </c>
      <c r="F24" s="13" t="s">
        <v>23</v>
      </c>
      <c r="G24" s="1">
        <v>8</v>
      </c>
      <c r="H24" s="2" t="s">
        <v>24</v>
      </c>
      <c r="I24" s="2" t="s">
        <v>25</v>
      </c>
      <c r="J24" s="2"/>
      <c r="K24" s="4" t="s">
        <v>33</v>
      </c>
      <c r="L24" s="25">
        <v>60</v>
      </c>
      <c r="M24" s="3">
        <v>699425.0025822859</v>
      </c>
      <c r="N24" s="3"/>
      <c r="O24" s="11">
        <v>717370.34</v>
      </c>
      <c r="P24" s="11"/>
      <c r="Q24" s="21">
        <f t="shared" si="0"/>
        <v>-17945.337417714065</v>
      </c>
      <c r="R24" s="3">
        <f t="shared" si="5"/>
        <v>143474.068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1">
        <f t="shared" si="1"/>
        <v>0</v>
      </c>
      <c r="AB24" s="21">
        <f t="shared" si="2"/>
        <v>143474.068</v>
      </c>
      <c r="AC24" s="21">
        <f t="shared" si="3"/>
        <v>573896.272</v>
      </c>
      <c r="AD24" s="21">
        <f t="shared" si="4"/>
        <v>555950.93458228593</v>
      </c>
      <c r="AE24" s="12" t="s">
        <v>154</v>
      </c>
    </row>
    <row r="25" spans="1:31" ht="31.2" hidden="1" x14ac:dyDescent="0.3">
      <c r="A25" s="12" t="s">
        <v>22</v>
      </c>
      <c r="B25" s="12">
        <v>2025</v>
      </c>
      <c r="C25" s="12" t="s">
        <v>160</v>
      </c>
      <c r="D25" s="12" t="s">
        <v>122</v>
      </c>
      <c r="E25" s="13">
        <v>16340</v>
      </c>
      <c r="F25" s="13" t="s">
        <v>23</v>
      </c>
      <c r="G25" s="1">
        <v>9</v>
      </c>
      <c r="H25" s="2" t="s">
        <v>24</v>
      </c>
      <c r="I25" s="2" t="s">
        <v>25</v>
      </c>
      <c r="J25" s="2"/>
      <c r="K25" s="4" t="s">
        <v>34</v>
      </c>
      <c r="L25" s="25">
        <v>45</v>
      </c>
      <c r="M25" s="3">
        <v>167892.06160215902</v>
      </c>
      <c r="N25" s="3"/>
      <c r="O25" s="11">
        <v>180968.24</v>
      </c>
      <c r="P25" s="11"/>
      <c r="Q25" s="21">
        <f t="shared" si="0"/>
        <v>-13076.178397840966</v>
      </c>
      <c r="R25" s="3">
        <f t="shared" si="5"/>
        <v>36193.648000000001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1">
        <f t="shared" si="1"/>
        <v>0</v>
      </c>
      <c r="AB25" s="21">
        <f t="shared" si="2"/>
        <v>36193.648000000001</v>
      </c>
      <c r="AC25" s="21">
        <f t="shared" si="3"/>
        <v>144774.592</v>
      </c>
      <c r="AD25" s="21">
        <f t="shared" si="4"/>
        <v>131698.41360215904</v>
      </c>
      <c r="AE25" s="12" t="s">
        <v>154</v>
      </c>
    </row>
    <row r="26" spans="1:31" ht="31.2" hidden="1" x14ac:dyDescent="0.3">
      <c r="A26" s="12" t="s">
        <v>22</v>
      </c>
      <c r="B26" s="12">
        <v>2025</v>
      </c>
      <c r="C26" s="12" t="s">
        <v>160</v>
      </c>
      <c r="D26" s="12" t="s">
        <v>122</v>
      </c>
      <c r="E26" s="13">
        <v>16340</v>
      </c>
      <c r="F26" s="13" t="s">
        <v>23</v>
      </c>
      <c r="G26" s="1">
        <v>10</v>
      </c>
      <c r="H26" s="2" t="s">
        <v>24</v>
      </c>
      <c r="I26" s="2" t="s">
        <v>25</v>
      </c>
      <c r="J26" s="2"/>
      <c r="K26" s="4" t="s">
        <v>35</v>
      </c>
      <c r="L26" s="25">
        <v>147</v>
      </c>
      <c r="M26" s="3">
        <v>2478584.5621000337</v>
      </c>
      <c r="N26" s="3"/>
      <c r="O26" s="11">
        <v>2414870.65</v>
      </c>
      <c r="P26" s="11"/>
      <c r="Q26" s="21">
        <f t="shared" si="0"/>
        <v>63713.912100033835</v>
      </c>
      <c r="R26" s="3">
        <f t="shared" si="5"/>
        <v>482974.13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21">
        <f t="shared" si="1"/>
        <v>0</v>
      </c>
      <c r="AB26" s="21">
        <f t="shared" si="2"/>
        <v>482974.13</v>
      </c>
      <c r="AC26" s="21">
        <f t="shared" si="3"/>
        <v>1931896.52</v>
      </c>
      <c r="AD26" s="21">
        <f t="shared" si="4"/>
        <v>1995610.4321000339</v>
      </c>
      <c r="AE26" s="12" t="s">
        <v>154</v>
      </c>
    </row>
    <row r="27" spans="1:31" ht="15.6" hidden="1" x14ac:dyDescent="0.3">
      <c r="A27" s="12" t="s">
        <v>36</v>
      </c>
      <c r="B27" s="12">
        <v>2025</v>
      </c>
      <c r="C27" s="12" t="s">
        <v>160</v>
      </c>
      <c r="D27" s="12" t="s">
        <v>37</v>
      </c>
      <c r="E27" s="1">
        <v>16879</v>
      </c>
      <c r="F27" s="13" t="s">
        <v>23</v>
      </c>
      <c r="G27" s="1">
        <v>1</v>
      </c>
      <c r="H27" s="4" t="s">
        <v>38</v>
      </c>
      <c r="I27" s="2" t="s">
        <v>25</v>
      </c>
      <c r="J27" s="2"/>
      <c r="K27" s="4" t="s">
        <v>28</v>
      </c>
      <c r="L27" s="25">
        <v>36</v>
      </c>
      <c r="M27" s="3">
        <v>3419652.1987980008</v>
      </c>
      <c r="N27" s="3"/>
      <c r="O27" s="11">
        <v>3077688.25</v>
      </c>
      <c r="P27" s="11"/>
      <c r="Q27" s="21">
        <f t="shared" si="0"/>
        <v>341963.94879800081</v>
      </c>
      <c r="R27" s="3">
        <f t="shared" si="5"/>
        <v>615537.65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21">
        <f t="shared" si="1"/>
        <v>0</v>
      </c>
      <c r="AB27" s="21">
        <f t="shared" si="2"/>
        <v>615537.65</v>
      </c>
      <c r="AC27" s="21">
        <f t="shared" si="3"/>
        <v>2462150.6</v>
      </c>
      <c r="AD27" s="21">
        <f t="shared" si="4"/>
        <v>2804114.5487980009</v>
      </c>
      <c r="AE27" s="12" t="s">
        <v>154</v>
      </c>
    </row>
    <row r="28" spans="1:31" ht="15.6" hidden="1" x14ac:dyDescent="0.3">
      <c r="A28" s="12" t="s">
        <v>36</v>
      </c>
      <c r="B28" s="12">
        <v>2025</v>
      </c>
      <c r="C28" s="12" t="s">
        <v>160</v>
      </c>
      <c r="D28" s="12" t="s">
        <v>37</v>
      </c>
      <c r="E28" s="1">
        <v>16879</v>
      </c>
      <c r="F28" s="13" t="s">
        <v>23</v>
      </c>
      <c r="G28" s="1">
        <v>2</v>
      </c>
      <c r="H28" s="4" t="s">
        <v>39</v>
      </c>
      <c r="I28" s="2" t="s">
        <v>25</v>
      </c>
      <c r="J28" s="2"/>
      <c r="K28" s="2" t="s">
        <v>40</v>
      </c>
      <c r="L28" s="25">
        <v>390</v>
      </c>
      <c r="M28" s="3">
        <v>2977703.4487980008</v>
      </c>
      <c r="N28" s="3"/>
      <c r="O28" s="11">
        <v>2800162.26</v>
      </c>
      <c r="P28" s="11"/>
      <c r="Q28" s="21">
        <f t="shared" si="0"/>
        <v>177541.18879800104</v>
      </c>
      <c r="R28" s="3">
        <f t="shared" si="5"/>
        <v>560032.45199999993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21">
        <f t="shared" si="1"/>
        <v>0</v>
      </c>
      <c r="AB28" s="21">
        <f t="shared" si="2"/>
        <v>560032.45199999993</v>
      </c>
      <c r="AC28" s="21">
        <f t="shared" si="3"/>
        <v>2240129.8079999997</v>
      </c>
      <c r="AD28" s="21">
        <f t="shared" si="4"/>
        <v>2417670.9967980008</v>
      </c>
      <c r="AE28" s="12" t="s">
        <v>154</v>
      </c>
    </row>
    <row r="29" spans="1:31" ht="15.6" hidden="1" x14ac:dyDescent="0.3">
      <c r="A29" s="12" t="s">
        <v>36</v>
      </c>
      <c r="B29" s="12">
        <v>2025</v>
      </c>
      <c r="C29" s="12" t="s">
        <v>160</v>
      </c>
      <c r="D29" s="12" t="s">
        <v>37</v>
      </c>
      <c r="E29" s="1">
        <v>16879</v>
      </c>
      <c r="F29" s="13" t="s">
        <v>23</v>
      </c>
      <c r="G29" s="1">
        <v>3</v>
      </c>
      <c r="H29" s="4" t="s">
        <v>39</v>
      </c>
      <c r="I29" s="2" t="s">
        <v>25</v>
      </c>
      <c r="J29" s="2"/>
      <c r="K29" s="2" t="s">
        <v>30</v>
      </c>
      <c r="L29" s="25">
        <v>600</v>
      </c>
      <c r="M29" s="3">
        <v>2977703.4487980008</v>
      </c>
      <c r="N29" s="3"/>
      <c r="O29" s="11">
        <v>2800162.26</v>
      </c>
      <c r="P29" s="11"/>
      <c r="Q29" s="21">
        <f t="shared" si="0"/>
        <v>177541.18879800104</v>
      </c>
      <c r="R29" s="3">
        <f t="shared" si="5"/>
        <v>560032.45199999993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21">
        <f t="shared" si="1"/>
        <v>0</v>
      </c>
      <c r="AB29" s="21">
        <f t="shared" si="2"/>
        <v>560032.45199999993</v>
      </c>
      <c r="AC29" s="21">
        <f t="shared" si="3"/>
        <v>2240129.8079999997</v>
      </c>
      <c r="AD29" s="21">
        <f t="shared" si="4"/>
        <v>2417670.9967980008</v>
      </c>
      <c r="AE29" s="12" t="s">
        <v>154</v>
      </c>
    </row>
    <row r="30" spans="1:31" ht="15.6" hidden="1" x14ac:dyDescent="0.3">
      <c r="A30" s="12" t="s">
        <v>36</v>
      </c>
      <c r="B30" s="12">
        <v>2025</v>
      </c>
      <c r="C30" s="12" t="s">
        <v>160</v>
      </c>
      <c r="D30" s="12" t="s">
        <v>37</v>
      </c>
      <c r="E30" s="1">
        <v>16879</v>
      </c>
      <c r="F30" s="13" t="s">
        <v>23</v>
      </c>
      <c r="G30" s="1">
        <v>4</v>
      </c>
      <c r="H30" s="4" t="s">
        <v>39</v>
      </c>
      <c r="I30" s="2" t="s">
        <v>25</v>
      </c>
      <c r="J30" s="2"/>
      <c r="K30" s="2" t="s">
        <v>26</v>
      </c>
      <c r="L30" s="25">
        <v>2010</v>
      </c>
      <c r="M30" s="3">
        <v>2977703.4487980008</v>
      </c>
      <c r="N30" s="3"/>
      <c r="O30" s="11">
        <v>2800162.26</v>
      </c>
      <c r="P30" s="11"/>
      <c r="Q30" s="21">
        <f t="shared" si="0"/>
        <v>177541.18879800104</v>
      </c>
      <c r="R30" s="3">
        <f t="shared" si="5"/>
        <v>560032.45199999993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21">
        <f t="shared" si="1"/>
        <v>0</v>
      </c>
      <c r="AB30" s="21">
        <f t="shared" si="2"/>
        <v>560032.45199999993</v>
      </c>
      <c r="AC30" s="21">
        <f t="shared" si="3"/>
        <v>2240129.8079999997</v>
      </c>
      <c r="AD30" s="21">
        <f t="shared" si="4"/>
        <v>2417670.9967980008</v>
      </c>
      <c r="AE30" s="12" t="s">
        <v>154</v>
      </c>
    </row>
    <row r="31" spans="1:31" ht="15.6" hidden="1" x14ac:dyDescent="0.3">
      <c r="A31" s="12" t="s">
        <v>36</v>
      </c>
      <c r="B31" s="12">
        <v>2025</v>
      </c>
      <c r="C31" s="12" t="s">
        <v>160</v>
      </c>
      <c r="D31" s="12" t="s">
        <v>37</v>
      </c>
      <c r="E31" s="1">
        <v>16879</v>
      </c>
      <c r="F31" s="13" t="s">
        <v>23</v>
      </c>
      <c r="G31" s="1">
        <v>5</v>
      </c>
      <c r="H31" s="4" t="s">
        <v>39</v>
      </c>
      <c r="I31" s="2" t="s">
        <v>25</v>
      </c>
      <c r="J31" s="2"/>
      <c r="K31" s="2" t="s">
        <v>41</v>
      </c>
      <c r="L31" s="25">
        <v>315</v>
      </c>
      <c r="M31" s="3">
        <v>3148252.1987980008</v>
      </c>
      <c r="N31" s="3"/>
      <c r="O31" s="11">
        <v>2898102.26</v>
      </c>
      <c r="P31" s="11"/>
      <c r="Q31" s="21">
        <f t="shared" si="0"/>
        <v>250149.93879800104</v>
      </c>
      <c r="R31" s="3">
        <f t="shared" si="5"/>
        <v>579620.45199999993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21">
        <f t="shared" si="1"/>
        <v>0</v>
      </c>
      <c r="AB31" s="21">
        <f t="shared" si="2"/>
        <v>579620.45199999993</v>
      </c>
      <c r="AC31" s="21">
        <f t="shared" si="3"/>
        <v>2318481.8079999997</v>
      </c>
      <c r="AD31" s="21">
        <f t="shared" si="4"/>
        <v>2568631.7467980008</v>
      </c>
      <c r="AE31" s="12" t="s">
        <v>154</v>
      </c>
    </row>
    <row r="32" spans="1:31" ht="31.2" hidden="1" x14ac:dyDescent="0.3">
      <c r="A32" s="12" t="s">
        <v>22</v>
      </c>
      <c r="B32" s="12">
        <v>2025</v>
      </c>
      <c r="C32" s="12" t="s">
        <v>160</v>
      </c>
      <c r="D32" s="12" t="s">
        <v>122</v>
      </c>
      <c r="E32" s="13">
        <v>16340</v>
      </c>
      <c r="F32" s="13" t="s">
        <v>42</v>
      </c>
      <c r="G32" s="1">
        <v>11</v>
      </c>
      <c r="H32" s="2" t="s">
        <v>24</v>
      </c>
      <c r="I32" s="2" t="s">
        <v>43</v>
      </c>
      <c r="J32" s="2"/>
      <c r="K32" s="4" t="s">
        <v>44</v>
      </c>
      <c r="L32" s="25">
        <v>129</v>
      </c>
      <c r="M32" s="3">
        <v>957992.1913005003</v>
      </c>
      <c r="N32" s="3"/>
      <c r="O32" s="11">
        <v>924528.92</v>
      </c>
      <c r="P32" s="11"/>
      <c r="Q32" s="21">
        <f t="shared" si="0"/>
        <v>33463.271300500259</v>
      </c>
      <c r="R32" s="3">
        <f t="shared" si="5"/>
        <v>184905.78400000001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21">
        <f t="shared" si="1"/>
        <v>0</v>
      </c>
      <c r="AB32" s="21">
        <f t="shared" si="2"/>
        <v>184905.78400000001</v>
      </c>
      <c r="AC32" s="21">
        <f t="shared" si="3"/>
        <v>739623.13600000006</v>
      </c>
      <c r="AD32" s="21">
        <f t="shared" si="4"/>
        <v>773086.40730050032</v>
      </c>
      <c r="AE32" s="12" t="s">
        <v>154</v>
      </c>
    </row>
    <row r="33" spans="1:31" ht="31.2" hidden="1" x14ac:dyDescent="0.3">
      <c r="A33" s="12" t="s">
        <v>22</v>
      </c>
      <c r="B33" s="12">
        <v>2025</v>
      </c>
      <c r="C33" s="12" t="s">
        <v>160</v>
      </c>
      <c r="D33" s="12" t="s">
        <v>122</v>
      </c>
      <c r="E33" s="13">
        <v>16340</v>
      </c>
      <c r="F33" s="13" t="s">
        <v>42</v>
      </c>
      <c r="G33" s="1">
        <v>12</v>
      </c>
      <c r="H33" s="2" t="s">
        <v>24</v>
      </c>
      <c r="I33" s="2" t="s">
        <v>43</v>
      </c>
      <c r="J33" s="2"/>
      <c r="K33" s="4" t="s">
        <v>45</v>
      </c>
      <c r="L33" s="25">
        <v>105</v>
      </c>
      <c r="M33" s="3">
        <v>895601.91391050024</v>
      </c>
      <c r="N33" s="3"/>
      <c r="O33" s="11">
        <v>849850.88</v>
      </c>
      <c r="P33" s="11"/>
      <c r="Q33" s="21">
        <f t="shared" si="0"/>
        <v>45751.033910500235</v>
      </c>
      <c r="R33" s="3">
        <f t="shared" si="5"/>
        <v>169970.17600000001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21">
        <f t="shared" si="1"/>
        <v>0</v>
      </c>
      <c r="AB33" s="21">
        <f t="shared" si="2"/>
        <v>169970.17600000001</v>
      </c>
      <c r="AC33" s="21">
        <f t="shared" si="3"/>
        <v>679880.70400000003</v>
      </c>
      <c r="AD33" s="21">
        <f t="shared" si="4"/>
        <v>725631.73791050026</v>
      </c>
      <c r="AE33" s="12" t="s">
        <v>154</v>
      </c>
    </row>
    <row r="34" spans="1:31" ht="31.2" hidden="1" x14ac:dyDescent="0.3">
      <c r="A34" s="12" t="s">
        <v>22</v>
      </c>
      <c r="B34" s="12">
        <v>2025</v>
      </c>
      <c r="C34" s="12" t="s">
        <v>160</v>
      </c>
      <c r="D34" s="12" t="s">
        <v>122</v>
      </c>
      <c r="E34" s="13">
        <v>16340</v>
      </c>
      <c r="F34" s="13" t="s">
        <v>42</v>
      </c>
      <c r="G34" s="1">
        <v>13</v>
      </c>
      <c r="H34" s="2" t="s">
        <v>24</v>
      </c>
      <c r="I34" s="2" t="s">
        <v>43</v>
      </c>
      <c r="J34" s="2"/>
      <c r="K34" s="5" t="s">
        <v>46</v>
      </c>
      <c r="L34" s="25">
        <v>75</v>
      </c>
      <c r="M34" s="3">
        <v>668232.31271615904</v>
      </c>
      <c r="N34" s="3"/>
      <c r="O34" s="11">
        <v>667632.81000000006</v>
      </c>
      <c r="P34" s="11"/>
      <c r="Q34" s="21">
        <f t="shared" si="0"/>
        <v>599.50271615898237</v>
      </c>
      <c r="R34" s="3">
        <f t="shared" si="5"/>
        <v>133526.56200000001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21">
        <f t="shared" si="1"/>
        <v>0</v>
      </c>
      <c r="AB34" s="21">
        <f t="shared" si="2"/>
        <v>133526.56200000001</v>
      </c>
      <c r="AC34" s="21">
        <f t="shared" si="3"/>
        <v>534106.24800000002</v>
      </c>
      <c r="AD34" s="21">
        <f t="shared" si="4"/>
        <v>534705.750716159</v>
      </c>
      <c r="AE34" s="12" t="s">
        <v>154</v>
      </c>
    </row>
    <row r="35" spans="1:31" ht="15.6" hidden="1" x14ac:dyDescent="0.3">
      <c r="A35" s="12" t="s">
        <v>22</v>
      </c>
      <c r="B35" s="12">
        <v>2025</v>
      </c>
      <c r="C35" s="12" t="s">
        <v>160</v>
      </c>
      <c r="D35" s="12" t="s">
        <v>122</v>
      </c>
      <c r="E35" s="13">
        <v>16340</v>
      </c>
      <c r="F35" s="13" t="s">
        <v>42</v>
      </c>
      <c r="G35" s="1">
        <v>14</v>
      </c>
      <c r="H35" s="2" t="s">
        <v>24</v>
      </c>
      <c r="I35" s="2" t="s">
        <v>43</v>
      </c>
      <c r="J35" s="2"/>
      <c r="K35" s="5" t="s">
        <v>47</v>
      </c>
      <c r="L35" s="25">
        <v>45</v>
      </c>
      <c r="M35" s="3">
        <v>281073.73719675053</v>
      </c>
      <c r="N35" s="3"/>
      <c r="O35" s="11">
        <v>287159.2</v>
      </c>
      <c r="P35" s="11"/>
      <c r="Q35" s="21">
        <f t="shared" si="0"/>
        <v>-6085.4628032494802</v>
      </c>
      <c r="R35" s="3">
        <f t="shared" si="5"/>
        <v>57431.840000000004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21">
        <f t="shared" si="1"/>
        <v>0</v>
      </c>
      <c r="AB35" s="21">
        <f t="shared" si="2"/>
        <v>57431.840000000004</v>
      </c>
      <c r="AC35" s="21">
        <f t="shared" si="3"/>
        <v>229727.36000000002</v>
      </c>
      <c r="AD35" s="21">
        <f t="shared" si="4"/>
        <v>223641.89719675053</v>
      </c>
      <c r="AE35" s="12" t="s">
        <v>154</v>
      </c>
    </row>
    <row r="36" spans="1:31" ht="46.8" hidden="1" x14ac:dyDescent="0.3">
      <c r="A36" s="12" t="s">
        <v>22</v>
      </c>
      <c r="B36" s="12">
        <v>2025</v>
      </c>
      <c r="C36" s="12" t="s">
        <v>160</v>
      </c>
      <c r="D36" s="12" t="s">
        <v>122</v>
      </c>
      <c r="E36" s="13">
        <v>16340</v>
      </c>
      <c r="F36" s="13" t="s">
        <v>42</v>
      </c>
      <c r="G36" s="1">
        <v>15</v>
      </c>
      <c r="H36" s="2" t="s">
        <v>24</v>
      </c>
      <c r="I36" s="2" t="s">
        <v>43</v>
      </c>
      <c r="J36" s="2"/>
      <c r="K36" s="6" t="s">
        <v>48</v>
      </c>
      <c r="L36" s="25">
        <v>90</v>
      </c>
      <c r="M36" s="3">
        <v>850618.86</v>
      </c>
      <c r="N36" s="3"/>
      <c r="O36" s="11">
        <v>629687.72</v>
      </c>
      <c r="P36" s="11"/>
      <c r="Q36" s="21">
        <f t="shared" si="0"/>
        <v>220931.14</v>
      </c>
      <c r="R36" s="3">
        <f t="shared" si="5"/>
        <v>125937.54399999999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21">
        <f t="shared" si="1"/>
        <v>0</v>
      </c>
      <c r="AB36" s="21">
        <f t="shared" si="2"/>
        <v>125937.54399999999</v>
      </c>
      <c r="AC36" s="21">
        <f t="shared" si="3"/>
        <v>503750.17599999998</v>
      </c>
      <c r="AD36" s="21">
        <f t="shared" si="4"/>
        <v>724681.31599999999</v>
      </c>
      <c r="AE36" s="12" t="s">
        <v>154</v>
      </c>
    </row>
    <row r="37" spans="1:31" ht="31.2" hidden="1" x14ac:dyDescent="0.3">
      <c r="A37" s="12" t="s">
        <v>22</v>
      </c>
      <c r="B37" s="12">
        <v>2025</v>
      </c>
      <c r="C37" s="12" t="s">
        <v>160</v>
      </c>
      <c r="D37" s="12" t="s">
        <v>122</v>
      </c>
      <c r="E37" s="13">
        <v>16340</v>
      </c>
      <c r="F37" s="13" t="s">
        <v>42</v>
      </c>
      <c r="G37" s="1">
        <v>16</v>
      </c>
      <c r="H37" s="2" t="s">
        <v>24</v>
      </c>
      <c r="I37" s="2" t="s">
        <v>43</v>
      </c>
      <c r="J37" s="2"/>
      <c r="K37" s="5" t="s">
        <v>49</v>
      </c>
      <c r="L37" s="25">
        <v>84</v>
      </c>
      <c r="M37" s="3">
        <v>312637.96000000002</v>
      </c>
      <c r="N37" s="3"/>
      <c r="O37" s="11">
        <v>319546.39</v>
      </c>
      <c r="P37" s="11"/>
      <c r="Q37" s="21">
        <f t="shared" si="0"/>
        <v>-6908.429999999993</v>
      </c>
      <c r="R37" s="3">
        <f t="shared" si="5"/>
        <v>63909.278000000006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21">
        <f t="shared" si="1"/>
        <v>0</v>
      </c>
      <c r="AB37" s="21">
        <f t="shared" si="2"/>
        <v>63909.278000000006</v>
      </c>
      <c r="AC37" s="21">
        <f t="shared" si="3"/>
        <v>255637.11200000002</v>
      </c>
      <c r="AD37" s="21">
        <f t="shared" si="4"/>
        <v>248728.68200000003</v>
      </c>
      <c r="AE37" s="12" t="s">
        <v>154</v>
      </c>
    </row>
    <row r="38" spans="1:31" ht="15.6" hidden="1" x14ac:dyDescent="0.3">
      <c r="A38" s="12" t="s">
        <v>36</v>
      </c>
      <c r="B38" s="12">
        <v>2025</v>
      </c>
      <c r="C38" s="12" t="s">
        <v>160</v>
      </c>
      <c r="D38" s="12" t="s">
        <v>37</v>
      </c>
      <c r="E38" s="1">
        <v>16879</v>
      </c>
      <c r="F38" s="13" t="s">
        <v>42</v>
      </c>
      <c r="G38" s="1">
        <v>6</v>
      </c>
      <c r="H38" s="4" t="s">
        <v>39</v>
      </c>
      <c r="I38" s="2" t="s">
        <v>43</v>
      </c>
      <c r="J38" s="2"/>
      <c r="K38" s="2" t="s">
        <v>50</v>
      </c>
      <c r="L38" s="25">
        <v>144</v>
      </c>
      <c r="M38" s="3">
        <v>3446792.1987980008</v>
      </c>
      <c r="N38" s="3"/>
      <c r="O38" s="11">
        <v>3102360.26</v>
      </c>
      <c r="P38" s="11"/>
      <c r="Q38" s="21">
        <f t="shared" si="0"/>
        <v>344431.93879800104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21">
        <f t="shared" si="1"/>
        <v>0</v>
      </c>
      <c r="AB38" s="21">
        <f t="shared" si="2"/>
        <v>0</v>
      </c>
      <c r="AC38" s="21">
        <f t="shared" si="3"/>
        <v>3102360.26</v>
      </c>
      <c r="AD38" s="21">
        <f t="shared" si="4"/>
        <v>3446792.1987980008</v>
      </c>
      <c r="AE38" s="12" t="s">
        <v>154</v>
      </c>
    </row>
    <row r="39" spans="1:31" ht="31.2" hidden="1" x14ac:dyDescent="0.3">
      <c r="A39" s="12" t="s">
        <v>36</v>
      </c>
      <c r="B39" s="12">
        <v>2025</v>
      </c>
      <c r="C39" s="12" t="s">
        <v>160</v>
      </c>
      <c r="D39" s="12" t="s">
        <v>37</v>
      </c>
      <c r="E39" s="1">
        <v>16879</v>
      </c>
      <c r="F39" s="13" t="s">
        <v>42</v>
      </c>
      <c r="G39" s="1">
        <v>7</v>
      </c>
      <c r="H39" s="4" t="s">
        <v>39</v>
      </c>
      <c r="I39" s="2" t="s">
        <v>43</v>
      </c>
      <c r="J39" s="2"/>
      <c r="K39" s="4" t="s">
        <v>44</v>
      </c>
      <c r="L39" s="25">
        <v>129</v>
      </c>
      <c r="M39" s="3">
        <v>3134894.9754646677</v>
      </c>
      <c r="N39" s="3"/>
      <c r="O39" s="11">
        <v>2970398.26</v>
      </c>
      <c r="P39" s="11"/>
      <c r="Q39" s="21">
        <f t="shared" si="0"/>
        <v>164496.71546466788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21">
        <f t="shared" si="1"/>
        <v>0</v>
      </c>
      <c r="AB39" s="21">
        <f t="shared" si="2"/>
        <v>0</v>
      </c>
      <c r="AC39" s="21">
        <f t="shared" si="3"/>
        <v>2970398.26</v>
      </c>
      <c r="AD39" s="21">
        <f t="shared" si="4"/>
        <v>3134894.9754646677</v>
      </c>
      <c r="AE39" s="12" t="s">
        <v>154</v>
      </c>
    </row>
    <row r="40" spans="1:31" ht="15.6" hidden="1" x14ac:dyDescent="0.3">
      <c r="A40" s="12" t="s">
        <v>36</v>
      </c>
      <c r="B40" s="12">
        <v>2025</v>
      </c>
      <c r="C40" s="12" t="s">
        <v>160</v>
      </c>
      <c r="D40" s="12" t="s">
        <v>37</v>
      </c>
      <c r="E40" s="1">
        <v>16879</v>
      </c>
      <c r="F40" s="13" t="s">
        <v>42</v>
      </c>
      <c r="G40" s="1">
        <v>8</v>
      </c>
      <c r="H40" s="4" t="s">
        <v>39</v>
      </c>
      <c r="I40" s="2" t="s">
        <v>43</v>
      </c>
      <c r="J40" s="2"/>
      <c r="K40" s="2" t="s">
        <v>51</v>
      </c>
      <c r="L40" s="25">
        <v>135</v>
      </c>
      <c r="M40" s="3">
        <v>3134894.9754646677</v>
      </c>
      <c r="N40" s="3"/>
      <c r="O40" s="11">
        <v>2970398.26</v>
      </c>
      <c r="P40" s="11"/>
      <c r="Q40" s="21">
        <f t="shared" si="0"/>
        <v>164496.71546466788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21">
        <f t="shared" si="1"/>
        <v>0</v>
      </c>
      <c r="AB40" s="21">
        <f t="shared" si="2"/>
        <v>0</v>
      </c>
      <c r="AC40" s="21">
        <f t="shared" si="3"/>
        <v>2970398.26</v>
      </c>
      <c r="AD40" s="21">
        <f t="shared" si="4"/>
        <v>3134894.9754646677</v>
      </c>
      <c r="AE40" s="12" t="s">
        <v>154</v>
      </c>
    </row>
    <row r="41" spans="1:31" ht="31.2" hidden="1" x14ac:dyDescent="0.3">
      <c r="A41" s="12" t="s">
        <v>36</v>
      </c>
      <c r="B41" s="12">
        <v>2025</v>
      </c>
      <c r="C41" s="12" t="s">
        <v>160</v>
      </c>
      <c r="D41" s="12" t="s">
        <v>37</v>
      </c>
      <c r="E41" s="1">
        <v>16879</v>
      </c>
      <c r="F41" s="13" t="s">
        <v>42</v>
      </c>
      <c r="G41" s="1">
        <v>9</v>
      </c>
      <c r="H41" s="4" t="s">
        <v>39</v>
      </c>
      <c r="I41" s="2" t="s">
        <v>43</v>
      </c>
      <c r="J41" s="2"/>
      <c r="K41" s="4" t="s">
        <v>52</v>
      </c>
      <c r="L41" s="25">
        <v>150</v>
      </c>
      <c r="M41" s="3">
        <v>3134894.9754646677</v>
      </c>
      <c r="N41" s="3"/>
      <c r="O41" s="11">
        <v>2970398.26</v>
      </c>
      <c r="P41" s="11"/>
      <c r="Q41" s="21">
        <f t="shared" si="0"/>
        <v>164496.71546466788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21">
        <f t="shared" si="1"/>
        <v>0</v>
      </c>
      <c r="AB41" s="21">
        <f t="shared" si="2"/>
        <v>0</v>
      </c>
      <c r="AC41" s="21">
        <f t="shared" si="3"/>
        <v>2970398.26</v>
      </c>
      <c r="AD41" s="21">
        <f t="shared" si="4"/>
        <v>3134894.9754646677</v>
      </c>
      <c r="AE41" s="12" t="s">
        <v>154</v>
      </c>
    </row>
    <row r="42" spans="1:31" ht="15.6" hidden="1" x14ac:dyDescent="0.3">
      <c r="A42" s="12" t="s">
        <v>22</v>
      </c>
      <c r="B42" s="12">
        <v>2025</v>
      </c>
      <c r="C42" s="12" t="s">
        <v>160</v>
      </c>
      <c r="D42" s="12" t="s">
        <v>122</v>
      </c>
      <c r="E42" s="13">
        <v>16340</v>
      </c>
      <c r="F42" s="13" t="s">
        <v>53</v>
      </c>
      <c r="G42" s="1">
        <v>17</v>
      </c>
      <c r="H42" s="2" t="s">
        <v>24</v>
      </c>
      <c r="I42" s="2" t="s">
        <v>54</v>
      </c>
      <c r="J42" s="2"/>
      <c r="K42" s="2" t="s">
        <v>55</v>
      </c>
      <c r="L42" s="25">
        <v>54</v>
      </c>
      <c r="M42" s="3">
        <v>544071.25</v>
      </c>
      <c r="N42" s="3"/>
      <c r="O42" s="11">
        <v>422400.31</v>
      </c>
      <c r="P42" s="11"/>
      <c r="Q42" s="21">
        <f t="shared" si="0"/>
        <v>121670.94</v>
      </c>
      <c r="R42" s="3">
        <f t="shared" ref="R42:R77" si="6">O42*20%</f>
        <v>84480.062000000005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21">
        <f t="shared" si="1"/>
        <v>0</v>
      </c>
      <c r="AB42" s="21">
        <f t="shared" si="2"/>
        <v>84480.062000000005</v>
      </c>
      <c r="AC42" s="21">
        <f t="shared" si="3"/>
        <v>337920.24800000002</v>
      </c>
      <c r="AD42" s="21">
        <f t="shared" si="4"/>
        <v>459591.18800000002</v>
      </c>
      <c r="AE42" s="12" t="s">
        <v>154</v>
      </c>
    </row>
    <row r="43" spans="1:31" ht="31.2" hidden="1" x14ac:dyDescent="0.3">
      <c r="A43" s="12" t="s">
        <v>22</v>
      </c>
      <c r="B43" s="12">
        <v>2025</v>
      </c>
      <c r="C43" s="12" t="s">
        <v>160</v>
      </c>
      <c r="D43" s="12" t="s">
        <v>122</v>
      </c>
      <c r="E43" s="13">
        <v>16340</v>
      </c>
      <c r="F43" s="13" t="s">
        <v>53</v>
      </c>
      <c r="G43" s="1">
        <v>18</v>
      </c>
      <c r="H43" s="2" t="s">
        <v>24</v>
      </c>
      <c r="I43" s="2" t="s">
        <v>54</v>
      </c>
      <c r="J43" s="2"/>
      <c r="K43" s="7" t="s">
        <v>56</v>
      </c>
      <c r="L43" s="25">
        <v>78</v>
      </c>
      <c r="M43" s="3">
        <v>233463.41</v>
      </c>
      <c r="N43" s="3"/>
      <c r="O43" s="11">
        <v>269102.55</v>
      </c>
      <c r="P43" s="11"/>
      <c r="Q43" s="21">
        <f t="shared" si="0"/>
        <v>-35639.139999999985</v>
      </c>
      <c r="R43" s="3">
        <f t="shared" si="6"/>
        <v>53820.51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21">
        <f t="shared" si="1"/>
        <v>0</v>
      </c>
      <c r="AB43" s="21">
        <f t="shared" si="2"/>
        <v>53820.51</v>
      </c>
      <c r="AC43" s="21">
        <f t="shared" si="3"/>
        <v>215282.03999999998</v>
      </c>
      <c r="AD43" s="21">
        <f t="shared" si="4"/>
        <v>179642.9</v>
      </c>
      <c r="AE43" s="12" t="s">
        <v>154</v>
      </c>
    </row>
    <row r="44" spans="1:31" ht="46.8" hidden="1" x14ac:dyDescent="0.3">
      <c r="A44" s="12" t="s">
        <v>22</v>
      </c>
      <c r="B44" s="12">
        <v>2025</v>
      </c>
      <c r="C44" s="12" t="s">
        <v>160</v>
      </c>
      <c r="D44" s="12" t="s">
        <v>122</v>
      </c>
      <c r="E44" s="13">
        <v>16340</v>
      </c>
      <c r="F44" s="13" t="s">
        <v>53</v>
      </c>
      <c r="G44" s="1">
        <v>19</v>
      </c>
      <c r="H44" s="2" t="s">
        <v>24</v>
      </c>
      <c r="I44" s="2" t="s">
        <v>54</v>
      </c>
      <c r="J44" s="2"/>
      <c r="K44" s="6" t="s">
        <v>57</v>
      </c>
      <c r="L44" s="25">
        <v>66</v>
      </c>
      <c r="M44" s="3">
        <v>363390.87</v>
      </c>
      <c r="N44" s="3"/>
      <c r="O44" s="11">
        <v>331387.64</v>
      </c>
      <c r="P44" s="11"/>
      <c r="Q44" s="21">
        <f t="shared" si="0"/>
        <v>32003.229999999981</v>
      </c>
      <c r="R44" s="3">
        <f t="shared" si="6"/>
        <v>66277.528000000006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21">
        <f t="shared" si="1"/>
        <v>0</v>
      </c>
      <c r="AB44" s="21">
        <f t="shared" si="2"/>
        <v>66277.528000000006</v>
      </c>
      <c r="AC44" s="21">
        <f t="shared" si="3"/>
        <v>265110.11200000002</v>
      </c>
      <c r="AD44" s="21">
        <f t="shared" si="4"/>
        <v>297113.342</v>
      </c>
      <c r="AE44" s="12" t="s">
        <v>154</v>
      </c>
    </row>
    <row r="45" spans="1:31" ht="31.2" hidden="1" x14ac:dyDescent="0.3">
      <c r="A45" s="12" t="s">
        <v>22</v>
      </c>
      <c r="B45" s="12">
        <v>2025</v>
      </c>
      <c r="C45" s="12" t="s">
        <v>160</v>
      </c>
      <c r="D45" s="12" t="s">
        <v>122</v>
      </c>
      <c r="E45" s="13">
        <v>16340</v>
      </c>
      <c r="F45" s="13" t="s">
        <v>53</v>
      </c>
      <c r="G45" s="1">
        <v>20</v>
      </c>
      <c r="H45" s="2" t="s">
        <v>24</v>
      </c>
      <c r="I45" s="2" t="s">
        <v>54</v>
      </c>
      <c r="J45" s="2"/>
      <c r="K45" s="6" t="s">
        <v>58</v>
      </c>
      <c r="L45" s="25">
        <v>57</v>
      </c>
      <c r="M45" s="3">
        <v>308577.71999999997</v>
      </c>
      <c r="N45" s="3"/>
      <c r="O45" s="11">
        <v>291918.65000000002</v>
      </c>
      <c r="P45" s="11"/>
      <c r="Q45" s="21">
        <f t="shared" si="0"/>
        <v>16659.069999999949</v>
      </c>
      <c r="R45" s="3">
        <f t="shared" si="6"/>
        <v>58383.73000000001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21">
        <f t="shared" si="1"/>
        <v>0</v>
      </c>
      <c r="AB45" s="21">
        <f t="shared" si="2"/>
        <v>58383.73000000001</v>
      </c>
      <c r="AC45" s="21">
        <f t="shared" si="3"/>
        <v>233534.92</v>
      </c>
      <c r="AD45" s="21">
        <f t="shared" si="4"/>
        <v>250193.98999999996</v>
      </c>
      <c r="AE45" s="12" t="s">
        <v>154</v>
      </c>
    </row>
    <row r="46" spans="1:31" ht="46.8" hidden="1" x14ac:dyDescent="0.3">
      <c r="A46" s="12" t="s">
        <v>22</v>
      </c>
      <c r="B46" s="12">
        <v>2025</v>
      </c>
      <c r="C46" s="12" t="s">
        <v>160</v>
      </c>
      <c r="D46" s="12" t="s">
        <v>122</v>
      </c>
      <c r="E46" s="13">
        <v>16340</v>
      </c>
      <c r="F46" s="13" t="s">
        <v>53</v>
      </c>
      <c r="G46" s="1">
        <v>21</v>
      </c>
      <c r="H46" s="2" t="s">
        <v>24</v>
      </c>
      <c r="I46" s="2" t="s">
        <v>54</v>
      </c>
      <c r="J46" s="2"/>
      <c r="K46" s="6" t="s">
        <v>59</v>
      </c>
      <c r="L46" s="25">
        <v>48</v>
      </c>
      <c r="M46" s="3">
        <v>263915.15999999997</v>
      </c>
      <c r="N46" s="3"/>
      <c r="O46" s="11">
        <v>258195.18</v>
      </c>
      <c r="P46" s="11"/>
      <c r="Q46" s="21">
        <f t="shared" si="0"/>
        <v>5719.9799999999814</v>
      </c>
      <c r="R46" s="3">
        <f t="shared" si="6"/>
        <v>51639.036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21">
        <f t="shared" si="1"/>
        <v>0</v>
      </c>
      <c r="AB46" s="21">
        <f t="shared" si="2"/>
        <v>51639.036</v>
      </c>
      <c r="AC46" s="21">
        <f t="shared" si="3"/>
        <v>206556.144</v>
      </c>
      <c r="AD46" s="21">
        <f t="shared" si="4"/>
        <v>212276.12399999998</v>
      </c>
      <c r="AE46" s="12" t="s">
        <v>154</v>
      </c>
    </row>
    <row r="47" spans="1:31" ht="15.6" hidden="1" x14ac:dyDescent="0.3">
      <c r="A47" s="12" t="s">
        <v>22</v>
      </c>
      <c r="B47" s="12">
        <v>2025</v>
      </c>
      <c r="C47" s="12" t="s">
        <v>160</v>
      </c>
      <c r="D47" s="12" t="s">
        <v>122</v>
      </c>
      <c r="E47" s="13">
        <v>16340</v>
      </c>
      <c r="F47" s="13" t="s">
        <v>53</v>
      </c>
      <c r="G47" s="1">
        <v>22</v>
      </c>
      <c r="H47" s="2" t="s">
        <v>24</v>
      </c>
      <c r="I47" s="2" t="s">
        <v>54</v>
      </c>
      <c r="J47" s="2"/>
      <c r="K47" s="6" t="s">
        <v>60</v>
      </c>
      <c r="L47" s="25">
        <v>6</v>
      </c>
      <c r="M47" s="3">
        <v>162409.32999999999</v>
      </c>
      <c r="N47" s="3"/>
      <c r="O47" s="11">
        <v>161338.49</v>
      </c>
      <c r="P47" s="11"/>
      <c r="Q47" s="21">
        <f t="shared" si="0"/>
        <v>1070.8399999999965</v>
      </c>
      <c r="R47" s="3">
        <f t="shared" si="6"/>
        <v>32267.698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21">
        <f t="shared" si="1"/>
        <v>0</v>
      </c>
      <c r="AB47" s="21">
        <f t="shared" si="2"/>
        <v>32267.698</v>
      </c>
      <c r="AC47" s="21">
        <f t="shared" si="3"/>
        <v>129070.79199999999</v>
      </c>
      <c r="AD47" s="21">
        <f t="shared" si="4"/>
        <v>130141.63199999998</v>
      </c>
      <c r="AE47" s="12" t="s">
        <v>154</v>
      </c>
    </row>
    <row r="48" spans="1:31" ht="31.2" hidden="1" x14ac:dyDescent="0.3">
      <c r="A48" s="12" t="s">
        <v>22</v>
      </c>
      <c r="B48" s="12">
        <v>2025</v>
      </c>
      <c r="C48" s="12" t="s">
        <v>160</v>
      </c>
      <c r="D48" s="12" t="s">
        <v>122</v>
      </c>
      <c r="E48" s="13">
        <v>16340</v>
      </c>
      <c r="F48" s="13" t="s">
        <v>53</v>
      </c>
      <c r="G48" s="1">
        <v>23</v>
      </c>
      <c r="H48" s="2" t="s">
        <v>24</v>
      </c>
      <c r="I48" s="2" t="s">
        <v>54</v>
      </c>
      <c r="J48" s="2"/>
      <c r="K48" s="7" t="s">
        <v>61</v>
      </c>
      <c r="L48" s="25">
        <v>36</v>
      </c>
      <c r="M48" s="3">
        <v>535950.78</v>
      </c>
      <c r="N48" s="3"/>
      <c r="O48" s="11">
        <v>400917.65</v>
      </c>
      <c r="P48" s="11"/>
      <c r="Q48" s="21">
        <f t="shared" si="0"/>
        <v>135033.13</v>
      </c>
      <c r="R48" s="3">
        <f t="shared" si="6"/>
        <v>80183.530000000013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21">
        <f t="shared" si="1"/>
        <v>0</v>
      </c>
      <c r="AB48" s="21">
        <f t="shared" si="2"/>
        <v>80183.530000000013</v>
      </c>
      <c r="AC48" s="21">
        <f t="shared" si="3"/>
        <v>320734.12</v>
      </c>
      <c r="AD48" s="21">
        <f t="shared" si="4"/>
        <v>455767.25</v>
      </c>
      <c r="AE48" s="12" t="s">
        <v>154</v>
      </c>
    </row>
    <row r="49" spans="1:31" ht="31.2" hidden="1" x14ac:dyDescent="0.3">
      <c r="A49" s="12" t="s">
        <v>22</v>
      </c>
      <c r="B49" s="12">
        <v>2025</v>
      </c>
      <c r="C49" s="12" t="s">
        <v>160</v>
      </c>
      <c r="D49" s="12" t="s">
        <v>122</v>
      </c>
      <c r="E49" s="13">
        <v>16340</v>
      </c>
      <c r="F49" s="13" t="s">
        <v>53</v>
      </c>
      <c r="G49" s="1">
        <v>24</v>
      </c>
      <c r="H49" s="2" t="s">
        <v>24</v>
      </c>
      <c r="I49" s="2" t="s">
        <v>54</v>
      </c>
      <c r="J49" s="2"/>
      <c r="K49" s="7" t="s">
        <v>62</v>
      </c>
      <c r="L49" s="25">
        <v>48</v>
      </c>
      <c r="M49" s="3">
        <v>540011.02</v>
      </c>
      <c r="N49" s="3"/>
      <c r="O49" s="11">
        <v>414473.32</v>
      </c>
      <c r="P49" s="11"/>
      <c r="Q49" s="21">
        <f t="shared" si="0"/>
        <v>125537.70000000001</v>
      </c>
      <c r="R49" s="3">
        <f t="shared" si="6"/>
        <v>82894.664000000004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21">
        <f t="shared" si="1"/>
        <v>0</v>
      </c>
      <c r="AB49" s="21">
        <f t="shared" si="2"/>
        <v>82894.664000000004</v>
      </c>
      <c r="AC49" s="21">
        <f t="shared" si="3"/>
        <v>331578.65600000002</v>
      </c>
      <c r="AD49" s="21">
        <f t="shared" si="4"/>
        <v>457116.35600000003</v>
      </c>
      <c r="AE49" s="12" t="s">
        <v>154</v>
      </c>
    </row>
    <row r="50" spans="1:31" ht="31.2" hidden="1" x14ac:dyDescent="0.3">
      <c r="A50" s="12" t="s">
        <v>22</v>
      </c>
      <c r="B50" s="12">
        <v>2025</v>
      </c>
      <c r="C50" s="12" t="s">
        <v>160</v>
      </c>
      <c r="D50" s="12" t="s">
        <v>122</v>
      </c>
      <c r="E50" s="13">
        <v>16340</v>
      </c>
      <c r="F50" s="13" t="s">
        <v>53</v>
      </c>
      <c r="G50" s="1">
        <v>25</v>
      </c>
      <c r="H50" s="2" t="s">
        <v>24</v>
      </c>
      <c r="I50" s="2" t="s">
        <v>54</v>
      </c>
      <c r="J50" s="2"/>
      <c r="K50" s="6" t="s">
        <v>63</v>
      </c>
      <c r="L50" s="25">
        <v>123</v>
      </c>
      <c r="M50" s="3">
        <v>578583.23</v>
      </c>
      <c r="N50" s="3"/>
      <c r="O50" s="11">
        <v>497311.45</v>
      </c>
      <c r="P50" s="11"/>
      <c r="Q50" s="21">
        <f t="shared" si="0"/>
        <v>81271.77999999997</v>
      </c>
      <c r="R50" s="3">
        <f t="shared" si="6"/>
        <v>99462.290000000008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21">
        <f t="shared" si="1"/>
        <v>0</v>
      </c>
      <c r="AB50" s="21">
        <f t="shared" si="2"/>
        <v>99462.290000000008</v>
      </c>
      <c r="AC50" s="21">
        <f t="shared" si="3"/>
        <v>397849.16000000003</v>
      </c>
      <c r="AD50" s="21">
        <f t="shared" si="4"/>
        <v>479120.94</v>
      </c>
      <c r="AE50" s="12" t="s">
        <v>154</v>
      </c>
    </row>
    <row r="51" spans="1:31" ht="31.2" hidden="1" x14ac:dyDescent="0.3">
      <c r="A51" s="12" t="s">
        <v>22</v>
      </c>
      <c r="B51" s="12">
        <v>2025</v>
      </c>
      <c r="C51" s="12" t="s">
        <v>160</v>
      </c>
      <c r="D51" s="12" t="s">
        <v>122</v>
      </c>
      <c r="E51" s="13">
        <v>16340</v>
      </c>
      <c r="F51" s="13" t="s">
        <v>53</v>
      </c>
      <c r="G51" s="1">
        <v>26</v>
      </c>
      <c r="H51" s="2" t="s">
        <v>24</v>
      </c>
      <c r="I51" s="2" t="s">
        <v>54</v>
      </c>
      <c r="J51" s="2"/>
      <c r="K51" s="6" t="s">
        <v>64</v>
      </c>
      <c r="L51" s="25">
        <v>120</v>
      </c>
      <c r="M51" s="3">
        <v>304517.49</v>
      </c>
      <c r="N51" s="3"/>
      <c r="O51" s="11">
        <v>348722.69</v>
      </c>
      <c r="P51" s="11"/>
      <c r="Q51" s="21">
        <f t="shared" si="0"/>
        <v>-44205.200000000012</v>
      </c>
      <c r="R51" s="3">
        <f t="shared" si="6"/>
        <v>69744.538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21">
        <f t="shared" si="1"/>
        <v>0</v>
      </c>
      <c r="AB51" s="21">
        <f t="shared" si="2"/>
        <v>69744.538</v>
      </c>
      <c r="AC51" s="21">
        <f t="shared" si="3"/>
        <v>278978.152</v>
      </c>
      <c r="AD51" s="21">
        <f t="shared" si="4"/>
        <v>234772.95199999999</v>
      </c>
      <c r="AE51" s="12" t="s">
        <v>154</v>
      </c>
    </row>
    <row r="52" spans="1:31" ht="31.2" hidden="1" x14ac:dyDescent="0.3">
      <c r="A52" s="12" t="s">
        <v>22</v>
      </c>
      <c r="B52" s="12">
        <v>2025</v>
      </c>
      <c r="C52" s="12" t="s">
        <v>160</v>
      </c>
      <c r="D52" s="12" t="s">
        <v>122</v>
      </c>
      <c r="E52" s="13">
        <v>16340</v>
      </c>
      <c r="F52" s="13" t="s">
        <v>53</v>
      </c>
      <c r="G52" s="1">
        <v>27</v>
      </c>
      <c r="H52" s="2" t="s">
        <v>24</v>
      </c>
      <c r="I52" s="2" t="s">
        <v>54</v>
      </c>
      <c r="J52" s="2"/>
      <c r="K52" s="6" t="s">
        <v>65</v>
      </c>
      <c r="L52" s="25">
        <v>45</v>
      </c>
      <c r="M52" s="3">
        <v>812046.64</v>
      </c>
      <c r="N52" s="3"/>
      <c r="O52" s="11">
        <v>565638.86</v>
      </c>
      <c r="P52" s="11"/>
      <c r="Q52" s="21">
        <f t="shared" si="0"/>
        <v>246407.78000000003</v>
      </c>
      <c r="R52" s="3">
        <f t="shared" si="6"/>
        <v>113127.772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21">
        <f t="shared" si="1"/>
        <v>0</v>
      </c>
      <c r="AB52" s="21">
        <f t="shared" si="2"/>
        <v>113127.772</v>
      </c>
      <c r="AC52" s="21">
        <f t="shared" si="3"/>
        <v>452511.08799999999</v>
      </c>
      <c r="AD52" s="21">
        <f t="shared" si="4"/>
        <v>698918.86800000002</v>
      </c>
      <c r="AE52" s="12" t="s">
        <v>154</v>
      </c>
    </row>
    <row r="53" spans="1:31" ht="31.2" hidden="1" x14ac:dyDescent="0.3">
      <c r="A53" s="12" t="s">
        <v>22</v>
      </c>
      <c r="B53" s="12">
        <v>2025</v>
      </c>
      <c r="C53" s="12" t="s">
        <v>160</v>
      </c>
      <c r="D53" s="12" t="s">
        <v>122</v>
      </c>
      <c r="E53" s="13">
        <v>16340</v>
      </c>
      <c r="F53" s="13" t="s">
        <v>53</v>
      </c>
      <c r="G53" s="1">
        <v>28</v>
      </c>
      <c r="H53" s="2" t="s">
        <v>24</v>
      </c>
      <c r="I53" s="2" t="s">
        <v>54</v>
      </c>
      <c r="J53" s="2"/>
      <c r="K53" s="6" t="s">
        <v>66</v>
      </c>
      <c r="L53" s="25">
        <v>30</v>
      </c>
      <c r="M53" s="3">
        <v>710540.81</v>
      </c>
      <c r="N53" s="3"/>
      <c r="O53" s="11">
        <v>494111.7</v>
      </c>
      <c r="P53" s="11"/>
      <c r="Q53" s="21">
        <f t="shared" si="0"/>
        <v>216429.11000000004</v>
      </c>
      <c r="R53" s="3">
        <f t="shared" si="6"/>
        <v>98822.340000000011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21">
        <f t="shared" si="1"/>
        <v>0</v>
      </c>
      <c r="AB53" s="21">
        <f t="shared" si="2"/>
        <v>98822.340000000011</v>
      </c>
      <c r="AC53" s="21">
        <f t="shared" si="3"/>
        <v>395289.36</v>
      </c>
      <c r="AD53" s="21">
        <f t="shared" si="4"/>
        <v>611718.47</v>
      </c>
      <c r="AE53" s="12" t="s">
        <v>154</v>
      </c>
    </row>
    <row r="54" spans="1:31" ht="46.8" hidden="1" x14ac:dyDescent="0.3">
      <c r="A54" s="12" t="s">
        <v>22</v>
      </c>
      <c r="B54" s="12">
        <v>2025</v>
      </c>
      <c r="C54" s="12" t="s">
        <v>160</v>
      </c>
      <c r="D54" s="12" t="s">
        <v>122</v>
      </c>
      <c r="E54" s="13">
        <v>16340</v>
      </c>
      <c r="F54" s="13" t="s">
        <v>53</v>
      </c>
      <c r="G54" s="1">
        <v>29</v>
      </c>
      <c r="H54" s="2" t="s">
        <v>24</v>
      </c>
      <c r="I54" s="2" t="s">
        <v>54</v>
      </c>
      <c r="J54" s="2"/>
      <c r="K54" s="6" t="s">
        <v>67</v>
      </c>
      <c r="L54" s="25">
        <v>51</v>
      </c>
      <c r="M54" s="3">
        <v>531890.55000000005</v>
      </c>
      <c r="N54" s="3"/>
      <c r="O54" s="11">
        <v>417265.42</v>
      </c>
      <c r="P54" s="11"/>
      <c r="Q54" s="21">
        <f t="shared" si="0"/>
        <v>114625.13000000006</v>
      </c>
      <c r="R54" s="3">
        <f t="shared" si="6"/>
        <v>83453.084000000003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21">
        <f t="shared" si="1"/>
        <v>0</v>
      </c>
      <c r="AB54" s="21">
        <f t="shared" si="2"/>
        <v>83453.084000000003</v>
      </c>
      <c r="AC54" s="21">
        <f t="shared" si="3"/>
        <v>333812.33600000001</v>
      </c>
      <c r="AD54" s="21">
        <f t="shared" si="4"/>
        <v>448437.46600000007</v>
      </c>
      <c r="AE54" s="12" t="s">
        <v>154</v>
      </c>
    </row>
    <row r="55" spans="1:31" ht="31.2" hidden="1" x14ac:dyDescent="0.3">
      <c r="A55" s="12" t="s">
        <v>22</v>
      </c>
      <c r="B55" s="12">
        <v>2025</v>
      </c>
      <c r="C55" s="12" t="s">
        <v>160</v>
      </c>
      <c r="D55" s="12" t="s">
        <v>122</v>
      </c>
      <c r="E55" s="13">
        <v>16340</v>
      </c>
      <c r="F55" s="13" t="s">
        <v>53</v>
      </c>
      <c r="G55" s="1">
        <v>30</v>
      </c>
      <c r="H55" s="2" t="s">
        <v>24</v>
      </c>
      <c r="I55" s="2" t="s">
        <v>54</v>
      </c>
      <c r="J55" s="2"/>
      <c r="K55" s="6" t="s">
        <v>68</v>
      </c>
      <c r="L55" s="25">
        <v>147</v>
      </c>
      <c r="M55" s="3">
        <v>507529.15</v>
      </c>
      <c r="N55" s="3"/>
      <c r="O55" s="11">
        <v>488962.61</v>
      </c>
      <c r="P55" s="11"/>
      <c r="Q55" s="21">
        <f t="shared" si="0"/>
        <v>18566.540000000037</v>
      </c>
      <c r="R55" s="3">
        <f t="shared" si="6"/>
        <v>97792.521999999997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21">
        <f t="shared" si="1"/>
        <v>0</v>
      </c>
      <c r="AB55" s="21">
        <f t="shared" si="2"/>
        <v>97792.521999999997</v>
      </c>
      <c r="AC55" s="21">
        <f t="shared" si="3"/>
        <v>391170.08799999999</v>
      </c>
      <c r="AD55" s="21">
        <f t="shared" si="4"/>
        <v>409736.62800000003</v>
      </c>
      <c r="AE55" s="12" t="s">
        <v>154</v>
      </c>
    </row>
    <row r="56" spans="1:31" ht="31.2" hidden="1" x14ac:dyDescent="0.3">
      <c r="A56" s="12" t="s">
        <v>22</v>
      </c>
      <c r="B56" s="12">
        <v>2025</v>
      </c>
      <c r="C56" s="12" t="s">
        <v>160</v>
      </c>
      <c r="D56" s="12" t="s">
        <v>122</v>
      </c>
      <c r="E56" s="13">
        <v>16340</v>
      </c>
      <c r="F56" s="13" t="s">
        <v>53</v>
      </c>
      <c r="G56" s="1">
        <v>31</v>
      </c>
      <c r="H56" s="2" t="s">
        <v>24</v>
      </c>
      <c r="I56" s="2" t="s">
        <v>54</v>
      </c>
      <c r="J56" s="2"/>
      <c r="K56" s="6" t="s">
        <v>69</v>
      </c>
      <c r="L56" s="25">
        <v>42</v>
      </c>
      <c r="M56" s="3">
        <v>172559.91</v>
      </c>
      <c r="N56" s="3"/>
      <c r="O56" s="11">
        <v>200850.72</v>
      </c>
      <c r="P56" s="11"/>
      <c r="Q56" s="21">
        <f t="shared" si="0"/>
        <v>-28290.809999999998</v>
      </c>
      <c r="R56" s="3">
        <f t="shared" si="6"/>
        <v>40170.144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21">
        <f t="shared" si="1"/>
        <v>0</v>
      </c>
      <c r="AB56" s="21">
        <f t="shared" si="2"/>
        <v>40170.144</v>
      </c>
      <c r="AC56" s="21">
        <f t="shared" si="3"/>
        <v>160680.576</v>
      </c>
      <c r="AD56" s="21">
        <f t="shared" si="4"/>
        <v>132389.766</v>
      </c>
      <c r="AE56" s="12" t="s">
        <v>154</v>
      </c>
    </row>
    <row r="57" spans="1:31" ht="31.2" hidden="1" x14ac:dyDescent="0.3">
      <c r="A57" s="12" t="s">
        <v>22</v>
      </c>
      <c r="B57" s="12">
        <v>2025</v>
      </c>
      <c r="C57" s="12" t="s">
        <v>160</v>
      </c>
      <c r="D57" s="12" t="s">
        <v>122</v>
      </c>
      <c r="E57" s="13">
        <v>16340</v>
      </c>
      <c r="F57" s="13" t="s">
        <v>53</v>
      </c>
      <c r="G57" s="1">
        <v>32</v>
      </c>
      <c r="H57" s="2" t="s">
        <v>24</v>
      </c>
      <c r="I57" s="2" t="s">
        <v>54</v>
      </c>
      <c r="J57" s="2"/>
      <c r="K57" s="6" t="s">
        <v>70</v>
      </c>
      <c r="L57" s="25">
        <v>72</v>
      </c>
      <c r="M57" s="3">
        <v>324818.65999999997</v>
      </c>
      <c r="N57" s="3"/>
      <c r="O57" s="11">
        <v>315184.11</v>
      </c>
      <c r="P57" s="11"/>
      <c r="Q57" s="21">
        <f t="shared" si="0"/>
        <v>9634.5499999999884</v>
      </c>
      <c r="R57" s="3">
        <f t="shared" si="6"/>
        <v>63036.822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21">
        <f t="shared" si="1"/>
        <v>0</v>
      </c>
      <c r="AB57" s="21">
        <f t="shared" si="2"/>
        <v>63036.822</v>
      </c>
      <c r="AC57" s="21">
        <f t="shared" si="3"/>
        <v>252147.288</v>
      </c>
      <c r="AD57" s="21">
        <f t="shared" si="4"/>
        <v>261781.83799999999</v>
      </c>
      <c r="AE57" s="12" t="s">
        <v>154</v>
      </c>
    </row>
    <row r="58" spans="1:31" ht="31.2" hidden="1" x14ac:dyDescent="0.3">
      <c r="A58" s="12" t="s">
        <v>22</v>
      </c>
      <c r="B58" s="12">
        <v>2025</v>
      </c>
      <c r="C58" s="12" t="s">
        <v>160</v>
      </c>
      <c r="D58" s="12" t="s">
        <v>122</v>
      </c>
      <c r="E58" s="13">
        <v>16340</v>
      </c>
      <c r="F58" s="13" t="s">
        <v>53</v>
      </c>
      <c r="G58" s="1">
        <v>33</v>
      </c>
      <c r="H58" s="2" t="s">
        <v>24</v>
      </c>
      <c r="I58" s="2" t="s">
        <v>54</v>
      </c>
      <c r="J58" s="2"/>
      <c r="K58" s="6" t="s">
        <v>71</v>
      </c>
      <c r="L58" s="25">
        <v>105</v>
      </c>
      <c r="M58" s="3">
        <v>629336.15</v>
      </c>
      <c r="N58" s="3"/>
      <c r="O58" s="11">
        <v>518507.36</v>
      </c>
      <c r="P58" s="11"/>
      <c r="Q58" s="21">
        <f t="shared" si="0"/>
        <v>110828.79000000004</v>
      </c>
      <c r="R58" s="3">
        <f t="shared" si="6"/>
        <v>103701.47200000001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21">
        <f t="shared" si="1"/>
        <v>0</v>
      </c>
      <c r="AB58" s="21">
        <f t="shared" si="2"/>
        <v>103701.47200000001</v>
      </c>
      <c r="AC58" s="21">
        <f t="shared" si="3"/>
        <v>414805.88799999998</v>
      </c>
      <c r="AD58" s="21">
        <f t="shared" si="4"/>
        <v>525634.67800000007</v>
      </c>
      <c r="AE58" s="12" t="s">
        <v>154</v>
      </c>
    </row>
    <row r="59" spans="1:31" ht="15.6" hidden="1" x14ac:dyDescent="0.3">
      <c r="A59" s="12" t="s">
        <v>22</v>
      </c>
      <c r="B59" s="12">
        <v>2025</v>
      </c>
      <c r="C59" s="12" t="s">
        <v>160</v>
      </c>
      <c r="D59" s="12" t="s">
        <v>122</v>
      </c>
      <c r="E59" s="13">
        <v>16340</v>
      </c>
      <c r="F59" s="13" t="s">
        <v>53</v>
      </c>
      <c r="G59" s="1">
        <v>34</v>
      </c>
      <c r="H59" s="2" t="s">
        <v>24</v>
      </c>
      <c r="I59" s="2" t="s">
        <v>54</v>
      </c>
      <c r="J59" s="2"/>
      <c r="K59" s="2" t="s">
        <v>72</v>
      </c>
      <c r="L59" s="25">
        <v>45</v>
      </c>
      <c r="M59" s="3">
        <v>1627351.3515180494</v>
      </c>
      <c r="N59" s="3"/>
      <c r="O59" s="11">
        <v>1497413.99</v>
      </c>
      <c r="P59" s="11"/>
      <c r="Q59" s="21">
        <f t="shared" si="0"/>
        <v>129937.36151804938</v>
      </c>
      <c r="R59" s="3">
        <f t="shared" si="6"/>
        <v>299482.79800000001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21">
        <f t="shared" si="1"/>
        <v>0</v>
      </c>
      <c r="AB59" s="21">
        <f t="shared" si="2"/>
        <v>299482.79800000001</v>
      </c>
      <c r="AC59" s="21">
        <f t="shared" si="3"/>
        <v>1197931.192</v>
      </c>
      <c r="AD59" s="21">
        <f t="shared" si="4"/>
        <v>1327868.5535180494</v>
      </c>
      <c r="AE59" s="12" t="s">
        <v>154</v>
      </c>
    </row>
    <row r="60" spans="1:31" ht="15.6" hidden="1" x14ac:dyDescent="0.3">
      <c r="A60" s="12" t="s">
        <v>22</v>
      </c>
      <c r="B60" s="12">
        <v>2025</v>
      </c>
      <c r="C60" s="12" t="s">
        <v>160</v>
      </c>
      <c r="D60" s="12" t="s">
        <v>122</v>
      </c>
      <c r="E60" s="13">
        <v>16340</v>
      </c>
      <c r="F60" s="13" t="s">
        <v>53</v>
      </c>
      <c r="G60" s="1">
        <v>35</v>
      </c>
      <c r="H60" s="2" t="s">
        <v>24</v>
      </c>
      <c r="I60" s="2" t="s">
        <v>54</v>
      </c>
      <c r="J60" s="2"/>
      <c r="K60" s="2" t="s">
        <v>73</v>
      </c>
      <c r="L60" s="25">
        <v>102</v>
      </c>
      <c r="M60" s="3">
        <v>1072948.3634031347</v>
      </c>
      <c r="N60" s="3"/>
      <c r="O60" s="11">
        <v>1022677.26</v>
      </c>
      <c r="P60" s="11"/>
      <c r="Q60" s="21">
        <f t="shared" si="0"/>
        <v>50271.103403134737</v>
      </c>
      <c r="R60" s="3">
        <f t="shared" si="6"/>
        <v>204535.45200000002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21">
        <f t="shared" si="1"/>
        <v>0</v>
      </c>
      <c r="AB60" s="21">
        <f t="shared" si="2"/>
        <v>204535.45200000002</v>
      </c>
      <c r="AC60" s="21">
        <f t="shared" si="3"/>
        <v>818141.80799999996</v>
      </c>
      <c r="AD60" s="21">
        <f t="shared" si="4"/>
        <v>868412.9114031347</v>
      </c>
      <c r="AE60" s="12" t="s">
        <v>154</v>
      </c>
    </row>
    <row r="61" spans="1:31" ht="15.6" hidden="1" x14ac:dyDescent="0.3">
      <c r="A61" s="12" t="s">
        <v>22</v>
      </c>
      <c r="B61" s="12">
        <v>2025</v>
      </c>
      <c r="C61" s="12" t="s">
        <v>160</v>
      </c>
      <c r="D61" s="12" t="s">
        <v>122</v>
      </c>
      <c r="E61" s="13">
        <v>16340</v>
      </c>
      <c r="F61" s="13" t="s">
        <v>53</v>
      </c>
      <c r="G61" s="1">
        <v>36</v>
      </c>
      <c r="H61" s="2" t="s">
        <v>24</v>
      </c>
      <c r="I61" s="2" t="s">
        <v>54</v>
      </c>
      <c r="J61" s="2"/>
      <c r="K61" s="2" t="s">
        <v>74</v>
      </c>
      <c r="L61" s="25">
        <v>156</v>
      </c>
      <c r="M61" s="3">
        <v>1076598.1320566735</v>
      </c>
      <c r="N61" s="3"/>
      <c r="O61" s="11">
        <v>1055057.5</v>
      </c>
      <c r="P61" s="11"/>
      <c r="Q61" s="21">
        <f t="shared" si="0"/>
        <v>21540.632056673523</v>
      </c>
      <c r="R61" s="3">
        <f t="shared" si="6"/>
        <v>211011.5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21">
        <f t="shared" si="1"/>
        <v>0</v>
      </c>
      <c r="AB61" s="21">
        <f t="shared" si="2"/>
        <v>211011.5</v>
      </c>
      <c r="AC61" s="21">
        <f t="shared" si="3"/>
        <v>844046</v>
      </c>
      <c r="AD61" s="21">
        <f t="shared" si="4"/>
        <v>865586.63205667352</v>
      </c>
      <c r="AE61" s="12" t="s">
        <v>154</v>
      </c>
    </row>
    <row r="62" spans="1:31" ht="15.6" hidden="1" x14ac:dyDescent="0.3">
      <c r="A62" s="12" t="s">
        <v>22</v>
      </c>
      <c r="B62" s="12">
        <v>2025</v>
      </c>
      <c r="C62" s="12" t="s">
        <v>160</v>
      </c>
      <c r="D62" s="12" t="s">
        <v>122</v>
      </c>
      <c r="E62" s="13">
        <v>16340</v>
      </c>
      <c r="F62" s="13" t="s">
        <v>53</v>
      </c>
      <c r="G62" s="1">
        <v>37</v>
      </c>
      <c r="H62" s="2" t="s">
        <v>24</v>
      </c>
      <c r="I62" s="2" t="s">
        <v>54</v>
      </c>
      <c r="J62" s="2"/>
      <c r="K62" s="2" t="s">
        <v>163</v>
      </c>
      <c r="L62" s="25">
        <v>72</v>
      </c>
      <c r="M62" s="3">
        <v>834714.98173539888</v>
      </c>
      <c r="N62" s="3"/>
      <c r="O62" s="11">
        <v>855470.4</v>
      </c>
      <c r="P62" s="11"/>
      <c r="Q62" s="21">
        <f t="shared" si="0"/>
        <v>-20755.418264601147</v>
      </c>
      <c r="R62" s="3">
        <f t="shared" si="6"/>
        <v>171094.08000000002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21">
        <f t="shared" si="1"/>
        <v>0</v>
      </c>
      <c r="AB62" s="21">
        <f t="shared" si="2"/>
        <v>171094.08000000002</v>
      </c>
      <c r="AC62" s="21">
        <f t="shared" si="3"/>
        <v>684376.32000000007</v>
      </c>
      <c r="AD62" s="21">
        <f t="shared" si="4"/>
        <v>663620.90173539892</v>
      </c>
      <c r="AE62" s="12" t="s">
        <v>154</v>
      </c>
    </row>
    <row r="63" spans="1:31" ht="31.2" hidden="1" x14ac:dyDescent="0.3">
      <c r="A63" s="12" t="s">
        <v>36</v>
      </c>
      <c r="B63" s="12">
        <v>2025</v>
      </c>
      <c r="C63" s="12" t="s">
        <v>160</v>
      </c>
      <c r="D63" s="12" t="s">
        <v>37</v>
      </c>
      <c r="E63" s="1">
        <v>16879</v>
      </c>
      <c r="F63" s="13" t="s">
        <v>53</v>
      </c>
      <c r="G63" s="1">
        <v>10</v>
      </c>
      <c r="H63" s="4" t="s">
        <v>39</v>
      </c>
      <c r="I63" s="2" t="s">
        <v>54</v>
      </c>
      <c r="J63" s="2"/>
      <c r="K63" s="4" t="s">
        <v>75</v>
      </c>
      <c r="L63" s="25">
        <v>45</v>
      </c>
      <c r="M63" s="3">
        <v>2977703.4487980008</v>
      </c>
      <c r="N63" s="3"/>
      <c r="O63" s="11">
        <v>2820458.25</v>
      </c>
      <c r="P63" s="11"/>
      <c r="Q63" s="21">
        <f t="shared" si="0"/>
        <v>157245.19879800081</v>
      </c>
      <c r="R63" s="3">
        <f t="shared" si="6"/>
        <v>564091.65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21">
        <f t="shared" si="1"/>
        <v>0</v>
      </c>
      <c r="AB63" s="21">
        <f t="shared" si="2"/>
        <v>564091.65</v>
      </c>
      <c r="AC63" s="21">
        <f t="shared" si="3"/>
        <v>2256366.6</v>
      </c>
      <c r="AD63" s="21">
        <f t="shared" si="4"/>
        <v>2413611.7987980009</v>
      </c>
      <c r="AE63" s="12" t="s">
        <v>154</v>
      </c>
    </row>
    <row r="64" spans="1:31" ht="31.2" hidden="1" x14ac:dyDescent="0.3">
      <c r="A64" s="12" t="s">
        <v>36</v>
      </c>
      <c r="B64" s="12">
        <v>2025</v>
      </c>
      <c r="C64" s="12" t="s">
        <v>160</v>
      </c>
      <c r="D64" s="12" t="s">
        <v>37</v>
      </c>
      <c r="E64" s="1">
        <v>16879</v>
      </c>
      <c r="F64" s="13" t="s">
        <v>53</v>
      </c>
      <c r="G64" s="1">
        <v>11</v>
      </c>
      <c r="H64" s="4" t="s">
        <v>39</v>
      </c>
      <c r="I64" s="2" t="s">
        <v>54</v>
      </c>
      <c r="J64" s="2"/>
      <c r="K64" s="4" t="s">
        <v>76</v>
      </c>
      <c r="L64" s="25">
        <v>102</v>
      </c>
      <c r="M64" s="3">
        <v>2977703.4487980008</v>
      </c>
      <c r="N64" s="3"/>
      <c r="O64" s="11">
        <v>2860148.26</v>
      </c>
      <c r="P64" s="11"/>
      <c r="Q64" s="21">
        <f t="shared" si="0"/>
        <v>117555.18879800104</v>
      </c>
      <c r="R64" s="3">
        <f t="shared" si="6"/>
        <v>572029.652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21">
        <f t="shared" si="1"/>
        <v>0</v>
      </c>
      <c r="AB64" s="21">
        <f t="shared" si="2"/>
        <v>572029.652</v>
      </c>
      <c r="AC64" s="21">
        <f t="shared" si="3"/>
        <v>2288118.608</v>
      </c>
      <c r="AD64" s="21">
        <f t="shared" si="4"/>
        <v>2405673.796798001</v>
      </c>
      <c r="AE64" s="12" t="s">
        <v>154</v>
      </c>
    </row>
    <row r="65" spans="1:31" ht="15.6" hidden="1" x14ac:dyDescent="0.3">
      <c r="A65" s="12" t="s">
        <v>36</v>
      </c>
      <c r="B65" s="12">
        <v>2025</v>
      </c>
      <c r="C65" s="12" t="s">
        <v>160</v>
      </c>
      <c r="D65" s="12" t="s">
        <v>37</v>
      </c>
      <c r="E65" s="1">
        <v>16879</v>
      </c>
      <c r="F65" s="13" t="s">
        <v>53</v>
      </c>
      <c r="G65" s="1">
        <v>12</v>
      </c>
      <c r="H65" s="4" t="s">
        <v>39</v>
      </c>
      <c r="I65" s="2" t="s">
        <v>54</v>
      </c>
      <c r="J65" s="2"/>
      <c r="K65" s="4" t="s">
        <v>163</v>
      </c>
      <c r="L65" s="25">
        <v>72</v>
      </c>
      <c r="M65" s="3">
        <v>3256812.1987980008</v>
      </c>
      <c r="N65" s="3"/>
      <c r="O65" s="11">
        <v>2980230.26</v>
      </c>
      <c r="P65" s="11"/>
      <c r="Q65" s="21">
        <f t="shared" si="0"/>
        <v>276581.93879800104</v>
      </c>
      <c r="R65" s="3">
        <f t="shared" si="6"/>
        <v>596046.05200000003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21">
        <f t="shared" si="1"/>
        <v>0</v>
      </c>
      <c r="AB65" s="21">
        <f t="shared" si="2"/>
        <v>596046.05200000003</v>
      </c>
      <c r="AC65" s="21">
        <f t="shared" si="3"/>
        <v>2384184.2079999996</v>
      </c>
      <c r="AD65" s="21">
        <f t="shared" si="4"/>
        <v>2660766.1467980007</v>
      </c>
      <c r="AE65" s="12" t="s">
        <v>154</v>
      </c>
    </row>
    <row r="66" spans="1:31" ht="31.2" hidden="1" x14ac:dyDescent="0.3">
      <c r="A66" s="12" t="s">
        <v>36</v>
      </c>
      <c r="B66" s="12">
        <v>2025</v>
      </c>
      <c r="C66" s="12" t="s">
        <v>160</v>
      </c>
      <c r="D66" s="12" t="s">
        <v>37</v>
      </c>
      <c r="E66" s="1">
        <v>16879</v>
      </c>
      <c r="F66" s="13" t="s">
        <v>53</v>
      </c>
      <c r="G66" s="1">
        <v>13</v>
      </c>
      <c r="H66" s="4" t="s">
        <v>39</v>
      </c>
      <c r="I66" s="2" t="s">
        <v>54</v>
      </c>
      <c r="J66" s="2"/>
      <c r="K66" s="4" t="s">
        <v>77</v>
      </c>
      <c r="L66" s="25">
        <v>180</v>
      </c>
      <c r="M66" s="3">
        <v>3446792.1987980008</v>
      </c>
      <c r="N66" s="3"/>
      <c r="O66" s="11">
        <v>3102360.26</v>
      </c>
      <c r="P66" s="11"/>
      <c r="Q66" s="21">
        <f t="shared" si="0"/>
        <v>344431.93879800104</v>
      </c>
      <c r="R66" s="3">
        <f t="shared" si="6"/>
        <v>620472.05200000003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21">
        <f t="shared" si="1"/>
        <v>0</v>
      </c>
      <c r="AB66" s="21">
        <f t="shared" si="2"/>
        <v>620472.05200000003</v>
      </c>
      <c r="AC66" s="21">
        <f t="shared" si="3"/>
        <v>2481888.2079999996</v>
      </c>
      <c r="AD66" s="21">
        <f t="shared" si="4"/>
        <v>2826320.1467980007</v>
      </c>
      <c r="AE66" s="12" t="s">
        <v>154</v>
      </c>
    </row>
    <row r="67" spans="1:31" ht="15.6" hidden="1" x14ac:dyDescent="0.3">
      <c r="A67" s="12" t="s">
        <v>36</v>
      </c>
      <c r="B67" s="12">
        <v>2025</v>
      </c>
      <c r="C67" s="12" t="s">
        <v>160</v>
      </c>
      <c r="D67" s="12" t="s">
        <v>37</v>
      </c>
      <c r="E67" s="1">
        <v>16879</v>
      </c>
      <c r="F67" s="13" t="s">
        <v>53</v>
      </c>
      <c r="G67" s="1">
        <v>14</v>
      </c>
      <c r="H67" s="4" t="s">
        <v>39</v>
      </c>
      <c r="I67" s="2" t="s">
        <v>54</v>
      </c>
      <c r="J67" s="2"/>
      <c r="K67" s="4" t="s">
        <v>72</v>
      </c>
      <c r="L67" s="25">
        <v>150</v>
      </c>
      <c r="M67" s="3">
        <v>2977703.4487980008</v>
      </c>
      <c r="N67" s="3"/>
      <c r="O67" s="11">
        <v>2820458.26</v>
      </c>
      <c r="P67" s="11"/>
      <c r="Q67" s="21">
        <f t="shared" si="0"/>
        <v>157245.18879800104</v>
      </c>
      <c r="R67" s="3">
        <f t="shared" si="6"/>
        <v>564091.652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21">
        <f t="shared" si="1"/>
        <v>0</v>
      </c>
      <c r="AB67" s="21">
        <f t="shared" si="2"/>
        <v>564091.652</v>
      </c>
      <c r="AC67" s="21">
        <f t="shared" si="3"/>
        <v>2256366.608</v>
      </c>
      <c r="AD67" s="21">
        <f t="shared" si="4"/>
        <v>2413611.796798001</v>
      </c>
      <c r="AE67" s="12" t="s">
        <v>154</v>
      </c>
    </row>
    <row r="68" spans="1:31" ht="31.2" hidden="1" x14ac:dyDescent="0.3">
      <c r="A68" s="12" t="s">
        <v>22</v>
      </c>
      <c r="B68" s="12">
        <v>2025</v>
      </c>
      <c r="C68" s="12" t="s">
        <v>160</v>
      </c>
      <c r="D68" s="12" t="s">
        <v>122</v>
      </c>
      <c r="E68" s="13">
        <v>16340</v>
      </c>
      <c r="F68" s="13" t="s">
        <v>78</v>
      </c>
      <c r="G68" s="1">
        <v>38</v>
      </c>
      <c r="H68" s="2" t="s">
        <v>24</v>
      </c>
      <c r="I68" s="2" t="s">
        <v>79</v>
      </c>
      <c r="J68" s="2"/>
      <c r="K68" s="4" t="s">
        <v>80</v>
      </c>
      <c r="L68" s="25">
        <v>78</v>
      </c>
      <c r="M68" s="3">
        <v>477077.4</v>
      </c>
      <c r="N68" s="3"/>
      <c r="O68" s="11">
        <v>406995.03</v>
      </c>
      <c r="P68" s="11"/>
      <c r="Q68" s="21">
        <f t="shared" si="0"/>
        <v>70082.37</v>
      </c>
      <c r="R68" s="3">
        <f t="shared" si="6"/>
        <v>81399.006000000008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21">
        <f t="shared" si="1"/>
        <v>0</v>
      </c>
      <c r="AB68" s="21">
        <f t="shared" si="2"/>
        <v>81399.006000000008</v>
      </c>
      <c r="AC68" s="21">
        <f t="shared" si="3"/>
        <v>325596.02400000003</v>
      </c>
      <c r="AD68" s="21">
        <f t="shared" si="4"/>
        <v>395678.39400000003</v>
      </c>
      <c r="AE68" s="12" t="s">
        <v>154</v>
      </c>
    </row>
    <row r="69" spans="1:31" ht="15.6" hidden="1" x14ac:dyDescent="0.3">
      <c r="A69" s="12" t="s">
        <v>36</v>
      </c>
      <c r="B69" s="12">
        <v>2025</v>
      </c>
      <c r="C69" s="12" t="s">
        <v>160</v>
      </c>
      <c r="D69" s="12" t="s">
        <v>37</v>
      </c>
      <c r="E69" s="1">
        <v>16879</v>
      </c>
      <c r="F69" s="1" t="s">
        <v>78</v>
      </c>
      <c r="G69" s="1">
        <v>15</v>
      </c>
      <c r="H69" s="5" t="s">
        <v>38</v>
      </c>
      <c r="I69" s="2" t="s">
        <v>79</v>
      </c>
      <c r="J69" s="2"/>
      <c r="K69" s="5" t="s">
        <v>81</v>
      </c>
      <c r="L69" s="25">
        <v>450</v>
      </c>
      <c r="M69" s="3">
        <v>3066832.1987980008</v>
      </c>
      <c r="N69" s="3"/>
      <c r="O69" s="11">
        <v>2826004.25</v>
      </c>
      <c r="P69" s="11"/>
      <c r="Q69" s="21">
        <f t="shared" ref="Q69:Q102" si="7">M69-O69</f>
        <v>240827.94879800081</v>
      </c>
      <c r="R69" s="3">
        <f t="shared" si="6"/>
        <v>565200.85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21">
        <f t="shared" ref="AA69:AA102" si="8">SUM(S69:Z69)</f>
        <v>0</v>
      </c>
      <c r="AB69" s="21">
        <f t="shared" ref="AB69:AB101" si="9">AA69+R69</f>
        <v>565200.85</v>
      </c>
      <c r="AC69" s="21">
        <f t="shared" ref="AC69:AC102" si="10">O69-AB69</f>
        <v>2260803.4</v>
      </c>
      <c r="AD69" s="21">
        <f t="shared" ref="AD69:AD102" si="11">Q69+AC69</f>
        <v>2501631.3487980007</v>
      </c>
      <c r="AE69" s="12" t="s">
        <v>154</v>
      </c>
    </row>
    <row r="70" spans="1:31" ht="15.6" hidden="1" x14ac:dyDescent="0.3">
      <c r="A70" s="12" t="s">
        <v>36</v>
      </c>
      <c r="B70" s="12">
        <v>2025</v>
      </c>
      <c r="C70" s="12" t="s">
        <v>160</v>
      </c>
      <c r="D70" s="12" t="s">
        <v>37</v>
      </c>
      <c r="E70" s="1">
        <v>16879</v>
      </c>
      <c r="F70" s="1" t="s">
        <v>78</v>
      </c>
      <c r="G70" s="1">
        <v>16</v>
      </c>
      <c r="H70" s="5" t="s">
        <v>39</v>
      </c>
      <c r="I70" s="2" t="s">
        <v>79</v>
      </c>
      <c r="J70" s="2"/>
      <c r="K70" s="5" t="s">
        <v>82</v>
      </c>
      <c r="L70" s="25">
        <v>450</v>
      </c>
      <c r="M70" s="3">
        <v>2977703.4487980008</v>
      </c>
      <c r="N70" s="3"/>
      <c r="O70" s="11">
        <v>2756148.26</v>
      </c>
      <c r="P70" s="11"/>
      <c r="Q70" s="21">
        <f t="shared" si="7"/>
        <v>221555.18879800104</v>
      </c>
      <c r="R70" s="3">
        <f t="shared" si="6"/>
        <v>551229.652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21">
        <f t="shared" si="8"/>
        <v>0</v>
      </c>
      <c r="AB70" s="21">
        <f t="shared" si="9"/>
        <v>551229.652</v>
      </c>
      <c r="AC70" s="21">
        <f t="shared" si="10"/>
        <v>2204918.608</v>
      </c>
      <c r="AD70" s="21">
        <f t="shared" si="11"/>
        <v>2426473.796798001</v>
      </c>
      <c r="AE70" s="12" t="s">
        <v>154</v>
      </c>
    </row>
    <row r="71" spans="1:31" ht="31.2" hidden="1" x14ac:dyDescent="0.3">
      <c r="A71" s="12" t="s">
        <v>22</v>
      </c>
      <c r="B71" s="12">
        <v>2025</v>
      </c>
      <c r="C71" s="12" t="s">
        <v>160</v>
      </c>
      <c r="D71" s="12" t="s">
        <v>122</v>
      </c>
      <c r="E71" s="13">
        <v>16340</v>
      </c>
      <c r="F71" s="13" t="s">
        <v>83</v>
      </c>
      <c r="G71" s="1">
        <v>39</v>
      </c>
      <c r="H71" s="2" t="s">
        <v>24</v>
      </c>
      <c r="I71" s="2" t="s">
        <v>84</v>
      </c>
      <c r="J71" s="2"/>
      <c r="K71" s="4" t="s">
        <v>85</v>
      </c>
      <c r="L71" s="25">
        <v>75</v>
      </c>
      <c r="M71" s="3">
        <v>203011.66</v>
      </c>
      <c r="N71" s="3"/>
      <c r="O71" s="11">
        <v>249051.6</v>
      </c>
      <c r="P71" s="11"/>
      <c r="Q71" s="21">
        <f t="shared" si="7"/>
        <v>-46039.94</v>
      </c>
      <c r="R71" s="3">
        <f t="shared" si="6"/>
        <v>49810.320000000007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21">
        <f t="shared" si="8"/>
        <v>0</v>
      </c>
      <c r="AB71" s="21">
        <f t="shared" si="9"/>
        <v>49810.320000000007</v>
      </c>
      <c r="AC71" s="21">
        <f t="shared" si="10"/>
        <v>199241.28</v>
      </c>
      <c r="AD71" s="21">
        <f t="shared" si="11"/>
        <v>153201.34</v>
      </c>
      <c r="AE71" s="12" t="s">
        <v>154</v>
      </c>
    </row>
    <row r="72" spans="1:31" ht="31.2" hidden="1" x14ac:dyDescent="0.3">
      <c r="A72" s="12" t="s">
        <v>22</v>
      </c>
      <c r="B72" s="12">
        <v>2025</v>
      </c>
      <c r="C72" s="12" t="s">
        <v>160</v>
      </c>
      <c r="D72" s="12" t="s">
        <v>122</v>
      </c>
      <c r="E72" s="13">
        <v>16340</v>
      </c>
      <c r="F72" s="13" t="s">
        <v>83</v>
      </c>
      <c r="G72" s="1">
        <v>40</v>
      </c>
      <c r="H72" s="2" t="s">
        <v>24</v>
      </c>
      <c r="I72" s="2" t="s">
        <v>84</v>
      </c>
      <c r="J72" s="2"/>
      <c r="K72" s="4" t="s">
        <v>86</v>
      </c>
      <c r="L72" s="25">
        <v>48</v>
      </c>
      <c r="M72" s="3">
        <v>152258.75</v>
      </c>
      <c r="N72" s="3"/>
      <c r="O72" s="11">
        <v>194994.46</v>
      </c>
      <c r="P72" s="11"/>
      <c r="Q72" s="21">
        <f t="shared" si="7"/>
        <v>-42735.709999999992</v>
      </c>
      <c r="R72" s="3">
        <f t="shared" si="6"/>
        <v>38998.892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21">
        <f t="shared" si="8"/>
        <v>0</v>
      </c>
      <c r="AB72" s="21">
        <f t="shared" si="9"/>
        <v>38998.892</v>
      </c>
      <c r="AC72" s="21">
        <f t="shared" si="10"/>
        <v>155995.568</v>
      </c>
      <c r="AD72" s="21">
        <f t="shared" si="11"/>
        <v>113259.85800000001</v>
      </c>
      <c r="AE72" s="12" t="s">
        <v>154</v>
      </c>
    </row>
    <row r="73" spans="1:31" ht="31.2" hidden="1" x14ac:dyDescent="0.3">
      <c r="A73" s="12" t="s">
        <v>22</v>
      </c>
      <c r="B73" s="12">
        <v>2025</v>
      </c>
      <c r="C73" s="12" t="s">
        <v>160</v>
      </c>
      <c r="D73" s="12" t="s">
        <v>122</v>
      </c>
      <c r="E73" s="13">
        <v>16340</v>
      </c>
      <c r="F73" s="13" t="s">
        <v>83</v>
      </c>
      <c r="G73" s="1">
        <v>41</v>
      </c>
      <c r="H73" s="2" t="s">
        <v>24</v>
      </c>
      <c r="I73" s="2" t="s">
        <v>84</v>
      </c>
      <c r="J73" s="2"/>
      <c r="K73" s="4" t="s">
        <v>87</v>
      </c>
      <c r="L73" s="25">
        <v>57</v>
      </c>
      <c r="M73" s="3">
        <v>314668.07</v>
      </c>
      <c r="N73" s="3"/>
      <c r="O73" s="11">
        <v>295365.96000000002</v>
      </c>
      <c r="P73" s="11"/>
      <c r="Q73" s="21">
        <f t="shared" si="7"/>
        <v>19302.109999999986</v>
      </c>
      <c r="R73" s="3">
        <f t="shared" si="6"/>
        <v>59073.19200000001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21">
        <f t="shared" si="8"/>
        <v>0</v>
      </c>
      <c r="AB73" s="21">
        <f t="shared" si="9"/>
        <v>59073.19200000001</v>
      </c>
      <c r="AC73" s="21">
        <f t="shared" si="10"/>
        <v>236292.76800000001</v>
      </c>
      <c r="AD73" s="21">
        <f t="shared" si="11"/>
        <v>255594.878</v>
      </c>
      <c r="AE73" s="12" t="s">
        <v>154</v>
      </c>
    </row>
    <row r="74" spans="1:31" ht="15.6" hidden="1" x14ac:dyDescent="0.3">
      <c r="A74" s="12" t="s">
        <v>36</v>
      </c>
      <c r="B74" s="12">
        <v>2025</v>
      </c>
      <c r="C74" s="12" t="s">
        <v>160</v>
      </c>
      <c r="D74" s="12" t="s">
        <v>37</v>
      </c>
      <c r="E74" s="1">
        <v>16879</v>
      </c>
      <c r="F74" s="1" t="s">
        <v>83</v>
      </c>
      <c r="G74" s="1">
        <v>17</v>
      </c>
      <c r="H74" s="5" t="s">
        <v>39</v>
      </c>
      <c r="I74" s="2" t="s">
        <v>84</v>
      </c>
      <c r="J74" s="2"/>
      <c r="K74" s="5" t="s">
        <v>88</v>
      </c>
      <c r="L74" s="25">
        <v>600</v>
      </c>
      <c r="M74" s="3">
        <v>3446792.1987980008</v>
      </c>
      <c r="N74" s="3"/>
      <c r="O74" s="11">
        <v>3102360.26</v>
      </c>
      <c r="P74" s="11"/>
      <c r="Q74" s="21">
        <f t="shared" si="7"/>
        <v>344431.93879800104</v>
      </c>
      <c r="R74" s="3">
        <f t="shared" si="6"/>
        <v>620472.05200000003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21">
        <f t="shared" si="8"/>
        <v>0</v>
      </c>
      <c r="AB74" s="21">
        <f t="shared" si="9"/>
        <v>620472.05200000003</v>
      </c>
      <c r="AC74" s="21">
        <f t="shared" si="10"/>
        <v>2481888.2079999996</v>
      </c>
      <c r="AD74" s="21">
        <f t="shared" si="11"/>
        <v>2826320.1467980007</v>
      </c>
      <c r="AE74" s="12" t="s">
        <v>154</v>
      </c>
    </row>
    <row r="75" spans="1:31" ht="31.2" hidden="1" x14ac:dyDescent="0.3">
      <c r="A75" s="12" t="s">
        <v>22</v>
      </c>
      <c r="B75" s="12">
        <v>2025</v>
      </c>
      <c r="C75" s="12" t="s">
        <v>160</v>
      </c>
      <c r="D75" s="12" t="s">
        <v>122</v>
      </c>
      <c r="E75" s="13">
        <v>16340</v>
      </c>
      <c r="F75" s="13" t="s">
        <v>89</v>
      </c>
      <c r="G75" s="1">
        <v>42</v>
      </c>
      <c r="H75" s="2" t="s">
        <v>24</v>
      </c>
      <c r="I75" s="2" t="s">
        <v>90</v>
      </c>
      <c r="J75" s="2"/>
      <c r="K75" s="6" t="s">
        <v>91</v>
      </c>
      <c r="L75" s="25">
        <v>108</v>
      </c>
      <c r="M75" s="3">
        <v>507529.15</v>
      </c>
      <c r="N75" s="3"/>
      <c r="O75" s="11">
        <v>452375.51</v>
      </c>
      <c r="P75" s="11"/>
      <c r="Q75" s="21">
        <f t="shared" si="7"/>
        <v>55153.640000000014</v>
      </c>
      <c r="R75" s="3">
        <f t="shared" si="6"/>
        <v>90475.102000000014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21">
        <f t="shared" si="8"/>
        <v>0</v>
      </c>
      <c r="AB75" s="21">
        <f t="shared" si="9"/>
        <v>90475.102000000014</v>
      </c>
      <c r="AC75" s="21">
        <f t="shared" si="10"/>
        <v>361900.408</v>
      </c>
      <c r="AD75" s="21">
        <f t="shared" si="11"/>
        <v>417054.04800000001</v>
      </c>
      <c r="AE75" s="12" t="s">
        <v>154</v>
      </c>
    </row>
    <row r="76" spans="1:31" ht="15.6" hidden="1" x14ac:dyDescent="0.3">
      <c r="A76" s="12" t="s">
        <v>36</v>
      </c>
      <c r="B76" s="12">
        <v>2025</v>
      </c>
      <c r="C76" s="12" t="s">
        <v>160</v>
      </c>
      <c r="D76" s="12" t="s">
        <v>37</v>
      </c>
      <c r="E76" s="1">
        <v>16879</v>
      </c>
      <c r="F76" s="1" t="s">
        <v>92</v>
      </c>
      <c r="G76" s="1">
        <v>18</v>
      </c>
      <c r="H76" s="5" t="s">
        <v>39</v>
      </c>
      <c r="I76" s="5" t="s">
        <v>54</v>
      </c>
      <c r="J76" s="5"/>
      <c r="K76" s="5" t="s">
        <v>94</v>
      </c>
      <c r="L76" s="25">
        <v>600</v>
      </c>
      <c r="M76" s="3">
        <v>3446792.1987980008</v>
      </c>
      <c r="N76" s="3"/>
      <c r="O76" s="11">
        <v>3102360.26</v>
      </c>
      <c r="P76" s="11"/>
      <c r="Q76" s="21">
        <f t="shared" si="7"/>
        <v>344431.93879800104</v>
      </c>
      <c r="R76" s="3">
        <f t="shared" si="6"/>
        <v>620472.05200000003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21">
        <f t="shared" si="8"/>
        <v>0</v>
      </c>
      <c r="AB76" s="21">
        <f t="shared" si="9"/>
        <v>620472.05200000003</v>
      </c>
      <c r="AC76" s="21">
        <f t="shared" si="10"/>
        <v>2481888.2079999996</v>
      </c>
      <c r="AD76" s="21">
        <f t="shared" si="11"/>
        <v>2826320.1467980007</v>
      </c>
      <c r="AE76" s="12" t="s">
        <v>154</v>
      </c>
    </row>
    <row r="77" spans="1:31" ht="15.6" hidden="1" x14ac:dyDescent="0.3">
      <c r="A77" s="12" t="s">
        <v>36</v>
      </c>
      <c r="B77" s="12">
        <v>2025</v>
      </c>
      <c r="C77" s="12" t="s">
        <v>160</v>
      </c>
      <c r="D77" s="12" t="s">
        <v>37</v>
      </c>
      <c r="E77" s="1">
        <v>16879</v>
      </c>
      <c r="F77" s="1" t="s">
        <v>95</v>
      </c>
      <c r="G77" s="1">
        <v>19</v>
      </c>
      <c r="H77" s="5" t="s">
        <v>39</v>
      </c>
      <c r="I77" s="5" t="s">
        <v>96</v>
      </c>
      <c r="J77" s="5"/>
      <c r="K77" s="5" t="s">
        <v>97</v>
      </c>
      <c r="L77" s="25">
        <v>600</v>
      </c>
      <c r="M77" s="23">
        <v>3419652.1987980008</v>
      </c>
      <c r="N77" s="23"/>
      <c r="O77" s="11">
        <v>3077688.26</v>
      </c>
      <c r="P77" s="11"/>
      <c r="Q77" s="21">
        <f t="shared" si="7"/>
        <v>341963.93879800104</v>
      </c>
      <c r="R77" s="3">
        <f t="shared" si="6"/>
        <v>615537.652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21">
        <f t="shared" si="8"/>
        <v>0</v>
      </c>
      <c r="AB77" s="21">
        <f t="shared" si="9"/>
        <v>615537.652</v>
      </c>
      <c r="AC77" s="21">
        <f t="shared" si="10"/>
        <v>2462150.608</v>
      </c>
      <c r="AD77" s="21">
        <f t="shared" si="11"/>
        <v>2804114.546798001</v>
      </c>
      <c r="AE77" s="12" t="s">
        <v>154</v>
      </c>
    </row>
    <row r="78" spans="1:31" ht="15.6" hidden="1" x14ac:dyDescent="0.3">
      <c r="A78" s="12" t="s">
        <v>145</v>
      </c>
      <c r="B78" s="12">
        <v>2024</v>
      </c>
      <c r="C78" s="12" t="s">
        <v>160</v>
      </c>
      <c r="D78" s="12" t="s">
        <v>122</v>
      </c>
      <c r="E78" s="1">
        <v>16340</v>
      </c>
      <c r="F78" s="1" t="s">
        <v>157</v>
      </c>
      <c r="G78" s="1">
        <v>1</v>
      </c>
      <c r="H78" s="12" t="s">
        <v>146</v>
      </c>
      <c r="I78" s="2" t="s">
        <v>54</v>
      </c>
      <c r="J78" s="2"/>
      <c r="K78" s="5" t="s">
        <v>54</v>
      </c>
      <c r="L78" s="20">
        <v>36795</v>
      </c>
      <c r="M78" s="21">
        <v>37331677.700000003</v>
      </c>
      <c r="N78" s="21"/>
      <c r="O78" s="21">
        <v>34401994.729999997</v>
      </c>
      <c r="P78" s="21"/>
      <c r="Q78" s="21">
        <f t="shared" si="7"/>
        <v>2929682.9700000063</v>
      </c>
      <c r="R78" s="21">
        <v>6880398.9459999995</v>
      </c>
      <c r="S78" s="21">
        <v>5058423.3</v>
      </c>
      <c r="T78" s="21">
        <v>11634599.060000001</v>
      </c>
      <c r="U78" s="21">
        <v>3493695.05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f t="shared" si="8"/>
        <v>20186717.41</v>
      </c>
      <c r="AB78" s="21">
        <f t="shared" si="9"/>
        <v>27067116.355999999</v>
      </c>
      <c r="AC78" s="21">
        <f t="shared" si="10"/>
        <v>7334878.373999998</v>
      </c>
      <c r="AD78" s="21">
        <f t="shared" si="11"/>
        <v>10264561.344000004</v>
      </c>
      <c r="AE78" s="12" t="s">
        <v>151</v>
      </c>
    </row>
    <row r="79" spans="1:31" ht="15.6" hidden="1" x14ac:dyDescent="0.3">
      <c r="A79" s="12" t="s">
        <v>147</v>
      </c>
      <c r="B79" s="12">
        <v>2024</v>
      </c>
      <c r="C79" s="12" t="s">
        <v>160</v>
      </c>
      <c r="D79" s="12" t="s">
        <v>148</v>
      </c>
      <c r="E79" s="1">
        <v>16844</v>
      </c>
      <c r="F79" s="1" t="s">
        <v>23</v>
      </c>
      <c r="G79" s="1">
        <v>1</v>
      </c>
      <c r="H79" s="12" t="s">
        <v>149</v>
      </c>
      <c r="I79" s="2" t="s">
        <v>54</v>
      </c>
      <c r="J79" s="2"/>
      <c r="K79" s="5" t="s">
        <v>93</v>
      </c>
      <c r="L79" s="20">
        <v>11343</v>
      </c>
      <c r="M79" s="21">
        <v>7384540.5599999996</v>
      </c>
      <c r="N79" s="21"/>
      <c r="O79" s="21">
        <v>5907633.6200000001</v>
      </c>
      <c r="P79" s="21"/>
      <c r="Q79" s="21">
        <f t="shared" si="7"/>
        <v>1476906.9399999995</v>
      </c>
      <c r="R79" s="21">
        <v>1181526.7240000002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f t="shared" si="8"/>
        <v>0</v>
      </c>
      <c r="AB79" s="21">
        <f t="shared" si="9"/>
        <v>1181526.7240000002</v>
      </c>
      <c r="AC79" s="21">
        <f t="shared" si="10"/>
        <v>4726106.8959999997</v>
      </c>
      <c r="AD79" s="21">
        <f t="shared" si="11"/>
        <v>6203013.8359999992</v>
      </c>
      <c r="AE79" s="12" t="s">
        <v>150</v>
      </c>
    </row>
    <row r="80" spans="1:31" ht="15.6" hidden="1" x14ac:dyDescent="0.3">
      <c r="A80" s="12" t="s">
        <v>147</v>
      </c>
      <c r="B80" s="12">
        <v>2024</v>
      </c>
      <c r="C80" s="12" t="s">
        <v>160</v>
      </c>
      <c r="D80" s="12" t="s">
        <v>148</v>
      </c>
      <c r="E80" s="1">
        <v>16844</v>
      </c>
      <c r="F80" s="1" t="s">
        <v>42</v>
      </c>
      <c r="G80" s="1">
        <v>2</v>
      </c>
      <c r="H80" s="12" t="s">
        <v>149</v>
      </c>
      <c r="I80" s="2" t="s">
        <v>107</v>
      </c>
      <c r="J80" s="2"/>
      <c r="K80" s="5" t="s">
        <v>99</v>
      </c>
      <c r="L80" s="20">
        <v>18173</v>
      </c>
      <c r="M80" s="21">
        <v>9634540.5600000005</v>
      </c>
      <c r="N80" s="21"/>
      <c r="O80" s="21">
        <v>6407477.5800000001</v>
      </c>
      <c r="P80" s="21"/>
      <c r="Q80" s="21">
        <f t="shared" si="7"/>
        <v>3227062.9800000004</v>
      </c>
      <c r="R80" s="21">
        <v>1541495.5160000001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f t="shared" si="8"/>
        <v>0</v>
      </c>
      <c r="AB80" s="21">
        <f t="shared" si="9"/>
        <v>1541495.5160000001</v>
      </c>
      <c r="AC80" s="21">
        <f t="shared" si="10"/>
        <v>4865982.0640000002</v>
      </c>
      <c r="AD80" s="21">
        <f t="shared" si="11"/>
        <v>8093045.0440000007</v>
      </c>
      <c r="AE80" s="12" t="s">
        <v>152</v>
      </c>
    </row>
    <row r="81" spans="1:31" ht="15.6" hidden="1" x14ac:dyDescent="0.3">
      <c r="A81" s="12" t="s">
        <v>147</v>
      </c>
      <c r="B81" s="12">
        <v>2024</v>
      </c>
      <c r="C81" s="12" t="s">
        <v>160</v>
      </c>
      <c r="D81" s="12" t="s">
        <v>148</v>
      </c>
      <c r="E81" s="1">
        <v>16844</v>
      </c>
      <c r="F81" s="1" t="s">
        <v>53</v>
      </c>
      <c r="G81" s="1">
        <v>3</v>
      </c>
      <c r="H81" s="12" t="s">
        <v>149</v>
      </c>
      <c r="I81" s="2" t="s">
        <v>54</v>
      </c>
      <c r="J81" s="2"/>
      <c r="K81" s="5" t="s">
        <v>84</v>
      </c>
      <c r="L81" s="20">
        <v>7279</v>
      </c>
      <c r="M81" s="21">
        <v>9384540.5600000005</v>
      </c>
      <c r="N81" s="21"/>
      <c r="O81" s="21">
        <v>6211830.6200000001</v>
      </c>
      <c r="P81" s="21"/>
      <c r="Q81" s="21">
        <f t="shared" si="7"/>
        <v>3172709.9400000004</v>
      </c>
      <c r="R81" s="21">
        <v>1502366.1240000001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f t="shared" si="8"/>
        <v>0</v>
      </c>
      <c r="AB81" s="21">
        <f t="shared" si="9"/>
        <v>1502366.1240000001</v>
      </c>
      <c r="AC81" s="21">
        <f t="shared" si="10"/>
        <v>4709464.4960000003</v>
      </c>
      <c r="AD81" s="21">
        <f t="shared" si="11"/>
        <v>7882174.4360000007</v>
      </c>
      <c r="AE81" s="12" t="s">
        <v>152</v>
      </c>
    </row>
    <row r="82" spans="1:31" ht="15.6" hidden="1" x14ac:dyDescent="0.3">
      <c r="A82" s="12" t="s">
        <v>98</v>
      </c>
      <c r="B82" s="12">
        <v>2025</v>
      </c>
      <c r="C82" s="12" t="s">
        <v>160</v>
      </c>
      <c r="D82" s="12" t="s">
        <v>37</v>
      </c>
      <c r="E82" s="13">
        <v>16879</v>
      </c>
      <c r="F82" s="13" t="s">
        <v>23</v>
      </c>
      <c r="G82" s="1">
        <v>1</v>
      </c>
      <c r="H82" s="4" t="s">
        <v>24</v>
      </c>
      <c r="I82" s="4" t="s">
        <v>99</v>
      </c>
      <c r="J82" s="4"/>
      <c r="K82" s="2" t="s">
        <v>100</v>
      </c>
      <c r="L82" s="26">
        <v>330</v>
      </c>
      <c r="M82" s="8">
        <f>[1]PRESUPUESTO!$G$42</f>
        <v>2810700.0185658624</v>
      </c>
      <c r="N82" s="8"/>
      <c r="O82" s="14">
        <v>2850122.36</v>
      </c>
      <c r="P82" s="14"/>
      <c r="Q82" s="21">
        <f t="shared" si="7"/>
        <v>-39422.34143413743</v>
      </c>
      <c r="R82" s="8">
        <f t="shared" ref="R82:R94" si="12">O82*20%</f>
        <v>570024.47199999995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21">
        <f t="shared" si="8"/>
        <v>0</v>
      </c>
      <c r="AB82" s="21">
        <f t="shared" si="9"/>
        <v>570024.47199999995</v>
      </c>
      <c r="AC82" s="21">
        <f t="shared" si="10"/>
        <v>2280097.8879999998</v>
      </c>
      <c r="AD82" s="21">
        <f t="shared" si="11"/>
        <v>2240675.5465658624</v>
      </c>
      <c r="AE82" s="24" t="s">
        <v>153</v>
      </c>
    </row>
    <row r="83" spans="1:31" ht="15.6" hidden="1" x14ac:dyDescent="0.3">
      <c r="A83" s="12" t="s">
        <v>98</v>
      </c>
      <c r="B83" s="12">
        <v>2025</v>
      </c>
      <c r="C83" s="12" t="s">
        <v>160</v>
      </c>
      <c r="D83" s="12" t="s">
        <v>37</v>
      </c>
      <c r="E83" s="13">
        <v>16879</v>
      </c>
      <c r="F83" s="13" t="s">
        <v>23</v>
      </c>
      <c r="G83" s="1">
        <v>2</v>
      </c>
      <c r="H83" s="2" t="s">
        <v>24</v>
      </c>
      <c r="I83" s="4" t="s">
        <v>99</v>
      </c>
      <c r="J83" s="4"/>
      <c r="K83" s="2" t="s">
        <v>101</v>
      </c>
      <c r="L83" s="26">
        <v>200</v>
      </c>
      <c r="M83" s="8">
        <f>[2]PRESUPUESTO!$G$44</f>
        <v>572688.8888798363</v>
      </c>
      <c r="N83" s="8"/>
      <c r="O83" s="14">
        <v>591558.27</v>
      </c>
      <c r="P83" s="14"/>
      <c r="Q83" s="21">
        <f t="shared" si="7"/>
        <v>-18869.381120163715</v>
      </c>
      <c r="R83" s="8">
        <f t="shared" si="12"/>
        <v>118311.65400000001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21">
        <f t="shared" si="8"/>
        <v>0</v>
      </c>
      <c r="AB83" s="21">
        <f t="shared" si="9"/>
        <v>118311.65400000001</v>
      </c>
      <c r="AC83" s="21">
        <f t="shared" si="10"/>
        <v>473246.61600000004</v>
      </c>
      <c r="AD83" s="21">
        <f t="shared" si="11"/>
        <v>454377.23487983632</v>
      </c>
      <c r="AE83" s="24" t="s">
        <v>153</v>
      </c>
    </row>
    <row r="84" spans="1:31" ht="15.6" hidden="1" x14ac:dyDescent="0.3">
      <c r="A84" s="12" t="s">
        <v>98</v>
      </c>
      <c r="B84" s="12">
        <v>2025</v>
      </c>
      <c r="C84" s="12" t="s">
        <v>160</v>
      </c>
      <c r="D84" s="12" t="s">
        <v>37</v>
      </c>
      <c r="E84" s="13">
        <v>16879</v>
      </c>
      <c r="F84" s="13" t="s">
        <v>23</v>
      </c>
      <c r="G84" s="1">
        <v>3</v>
      </c>
      <c r="H84" s="2" t="s">
        <v>24</v>
      </c>
      <c r="I84" s="4" t="s">
        <v>99</v>
      </c>
      <c r="J84" s="4"/>
      <c r="K84" s="9" t="s">
        <v>102</v>
      </c>
      <c r="L84" s="26">
        <v>125</v>
      </c>
      <c r="M84" s="10">
        <v>994989.31</v>
      </c>
      <c r="N84" s="10"/>
      <c r="O84" s="14">
        <v>1174581.71</v>
      </c>
      <c r="P84" s="14"/>
      <c r="Q84" s="21">
        <f t="shared" si="7"/>
        <v>-179592.39999999991</v>
      </c>
      <c r="R84" s="8">
        <f>O84*20%</f>
        <v>234916.342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21">
        <f t="shared" si="8"/>
        <v>0</v>
      </c>
      <c r="AB84" s="21">
        <f t="shared" si="9"/>
        <v>234916.342</v>
      </c>
      <c r="AC84" s="21">
        <f t="shared" si="10"/>
        <v>939665.36800000002</v>
      </c>
      <c r="AD84" s="21">
        <f t="shared" si="11"/>
        <v>760072.96800000011</v>
      </c>
      <c r="AE84" s="24" t="s">
        <v>153</v>
      </c>
    </row>
    <row r="85" spans="1:31" ht="15.6" hidden="1" x14ac:dyDescent="0.3">
      <c r="A85" s="12" t="s">
        <v>98</v>
      </c>
      <c r="B85" s="12">
        <v>2025</v>
      </c>
      <c r="C85" s="12" t="s">
        <v>160</v>
      </c>
      <c r="D85" s="12" t="s">
        <v>37</v>
      </c>
      <c r="E85" s="13">
        <v>16879</v>
      </c>
      <c r="F85" s="13" t="s">
        <v>23</v>
      </c>
      <c r="G85" s="1">
        <v>4</v>
      </c>
      <c r="H85" s="9" t="s">
        <v>24</v>
      </c>
      <c r="I85" s="4" t="s">
        <v>99</v>
      </c>
      <c r="J85" s="4"/>
      <c r="K85" s="9" t="s">
        <v>103</v>
      </c>
      <c r="L85" s="27">
        <v>225</v>
      </c>
      <c r="M85" s="10">
        <v>1086179.3</v>
      </c>
      <c r="N85" s="10"/>
      <c r="O85" s="14">
        <v>1176197.75</v>
      </c>
      <c r="P85" s="14"/>
      <c r="Q85" s="21">
        <f t="shared" si="7"/>
        <v>-90018.449999999953</v>
      </c>
      <c r="R85" s="8">
        <f t="shared" si="12"/>
        <v>235239.55000000002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21">
        <f t="shared" si="8"/>
        <v>0</v>
      </c>
      <c r="AB85" s="21">
        <f t="shared" si="9"/>
        <v>235239.55000000002</v>
      </c>
      <c r="AC85" s="21">
        <f t="shared" si="10"/>
        <v>940958.2</v>
      </c>
      <c r="AD85" s="21">
        <f t="shared" si="11"/>
        <v>850939.75</v>
      </c>
      <c r="AE85" s="24" t="s">
        <v>153</v>
      </c>
    </row>
    <row r="86" spans="1:31" ht="15.6" hidden="1" x14ac:dyDescent="0.3">
      <c r="A86" s="12" t="s">
        <v>98</v>
      </c>
      <c r="B86" s="12">
        <v>2025</v>
      </c>
      <c r="C86" s="12" t="s">
        <v>160</v>
      </c>
      <c r="D86" s="12" t="s">
        <v>37</v>
      </c>
      <c r="E86" s="13">
        <v>16879</v>
      </c>
      <c r="F86" s="13" t="s">
        <v>23</v>
      </c>
      <c r="G86" s="1">
        <v>5</v>
      </c>
      <c r="H86" s="2" t="s">
        <v>24</v>
      </c>
      <c r="I86" s="4" t="s">
        <v>99</v>
      </c>
      <c r="J86" s="4"/>
      <c r="K86" s="2" t="s">
        <v>104</v>
      </c>
      <c r="L86" s="26">
        <v>225</v>
      </c>
      <c r="M86" s="10">
        <v>1075691.02</v>
      </c>
      <c r="N86" s="10"/>
      <c r="O86" s="14">
        <v>1091934.29</v>
      </c>
      <c r="P86" s="14"/>
      <c r="Q86" s="21">
        <f t="shared" si="7"/>
        <v>-16243.270000000019</v>
      </c>
      <c r="R86" s="8">
        <f t="shared" si="12"/>
        <v>218386.85800000001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21">
        <f t="shared" si="8"/>
        <v>0</v>
      </c>
      <c r="AB86" s="21">
        <f t="shared" si="9"/>
        <v>218386.85800000001</v>
      </c>
      <c r="AC86" s="21">
        <f t="shared" si="10"/>
        <v>873547.43200000003</v>
      </c>
      <c r="AD86" s="21">
        <f t="shared" si="11"/>
        <v>857304.16200000001</v>
      </c>
      <c r="AE86" s="24" t="s">
        <v>153</v>
      </c>
    </row>
    <row r="87" spans="1:31" ht="15.6" hidden="1" x14ac:dyDescent="0.3">
      <c r="A87" s="12" t="s">
        <v>98</v>
      </c>
      <c r="B87" s="12">
        <v>2025</v>
      </c>
      <c r="C87" s="12" t="s">
        <v>160</v>
      </c>
      <c r="D87" s="12" t="s">
        <v>37</v>
      </c>
      <c r="E87" s="13">
        <v>16879</v>
      </c>
      <c r="F87" s="13" t="s">
        <v>23</v>
      </c>
      <c r="G87" s="1">
        <v>6</v>
      </c>
      <c r="H87" s="2" t="s">
        <v>24</v>
      </c>
      <c r="I87" s="4" t="s">
        <v>99</v>
      </c>
      <c r="J87" s="4"/>
      <c r="K87" s="2" t="s">
        <v>105</v>
      </c>
      <c r="L87" s="26">
        <v>505</v>
      </c>
      <c r="M87" s="10">
        <v>1920848.44</v>
      </c>
      <c r="N87" s="10"/>
      <c r="O87" s="14">
        <v>2060622.85</v>
      </c>
      <c r="P87" s="14"/>
      <c r="Q87" s="21">
        <f t="shared" si="7"/>
        <v>-139774.41000000015</v>
      </c>
      <c r="R87" s="8">
        <f t="shared" si="12"/>
        <v>412124.57000000007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21">
        <f t="shared" si="8"/>
        <v>0</v>
      </c>
      <c r="AB87" s="21">
        <f t="shared" si="9"/>
        <v>412124.57000000007</v>
      </c>
      <c r="AC87" s="21">
        <f t="shared" si="10"/>
        <v>1648498.28</v>
      </c>
      <c r="AD87" s="21">
        <f t="shared" si="11"/>
        <v>1508723.8699999999</v>
      </c>
      <c r="AE87" s="24" t="s">
        <v>153</v>
      </c>
    </row>
    <row r="88" spans="1:31" ht="31.2" hidden="1" x14ac:dyDescent="0.3">
      <c r="A88" s="12" t="s">
        <v>98</v>
      </c>
      <c r="B88" s="12">
        <v>2025</v>
      </c>
      <c r="C88" s="12" t="s">
        <v>160</v>
      </c>
      <c r="D88" s="12" t="s">
        <v>37</v>
      </c>
      <c r="E88" s="13">
        <v>16879</v>
      </c>
      <c r="F88" s="13" t="s">
        <v>23</v>
      </c>
      <c r="G88" s="1">
        <v>1</v>
      </c>
      <c r="H88" s="5" t="s">
        <v>39</v>
      </c>
      <c r="I88" s="4" t="s">
        <v>99</v>
      </c>
      <c r="J88" s="4"/>
      <c r="K88" s="5" t="s">
        <v>106</v>
      </c>
      <c r="L88" s="27">
        <v>1200</v>
      </c>
      <c r="M88" s="10">
        <v>3179737.7087980006</v>
      </c>
      <c r="N88" s="10"/>
      <c r="O88" s="14">
        <v>2861763.94</v>
      </c>
      <c r="P88" s="14"/>
      <c r="Q88" s="21">
        <f t="shared" si="7"/>
        <v>317973.76879800064</v>
      </c>
      <c r="R88" s="8">
        <f>O88*20%</f>
        <v>572352.78800000006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21">
        <f t="shared" si="8"/>
        <v>0</v>
      </c>
      <c r="AB88" s="21">
        <f t="shared" si="9"/>
        <v>572352.78800000006</v>
      </c>
      <c r="AC88" s="21">
        <f t="shared" si="10"/>
        <v>2289411.1519999998</v>
      </c>
      <c r="AD88" s="21">
        <f t="shared" si="11"/>
        <v>2607384.9207980004</v>
      </c>
      <c r="AE88" s="24" t="s">
        <v>153</v>
      </c>
    </row>
    <row r="89" spans="1:31" ht="15.6" hidden="1" x14ac:dyDescent="0.3">
      <c r="A89" s="12" t="s">
        <v>98</v>
      </c>
      <c r="B89" s="12">
        <v>2025</v>
      </c>
      <c r="C89" s="12" t="s">
        <v>160</v>
      </c>
      <c r="D89" s="12" t="s">
        <v>37</v>
      </c>
      <c r="E89" s="13">
        <v>16879</v>
      </c>
      <c r="F89" s="13" t="s">
        <v>23</v>
      </c>
      <c r="G89" s="1">
        <v>2</v>
      </c>
      <c r="H89" s="4" t="s">
        <v>39</v>
      </c>
      <c r="I89" s="4" t="s">
        <v>99</v>
      </c>
      <c r="J89" s="4"/>
      <c r="K89" s="2" t="s">
        <v>101</v>
      </c>
      <c r="L89" s="26">
        <v>200</v>
      </c>
      <c r="M89" s="10">
        <v>3126304.2513624178</v>
      </c>
      <c r="N89" s="10"/>
      <c r="O89" s="14">
        <v>2813673.83</v>
      </c>
      <c r="P89" s="14"/>
      <c r="Q89" s="21">
        <f t="shared" si="7"/>
        <v>312630.42136241775</v>
      </c>
      <c r="R89" s="8">
        <f>O89*20%</f>
        <v>562734.76600000006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21">
        <f t="shared" si="8"/>
        <v>0</v>
      </c>
      <c r="AB89" s="21">
        <f t="shared" si="9"/>
        <v>562734.76600000006</v>
      </c>
      <c r="AC89" s="21">
        <f t="shared" si="10"/>
        <v>2250939.0640000002</v>
      </c>
      <c r="AD89" s="21">
        <f t="shared" si="11"/>
        <v>2563569.485362418</v>
      </c>
      <c r="AE89" s="24" t="s">
        <v>153</v>
      </c>
    </row>
    <row r="90" spans="1:31" ht="15.6" hidden="1" x14ac:dyDescent="0.3">
      <c r="A90" s="12" t="s">
        <v>98</v>
      </c>
      <c r="B90" s="12">
        <v>2025</v>
      </c>
      <c r="C90" s="12" t="s">
        <v>160</v>
      </c>
      <c r="D90" s="12" t="s">
        <v>37</v>
      </c>
      <c r="E90" s="13">
        <v>16879</v>
      </c>
      <c r="F90" s="13" t="s">
        <v>42</v>
      </c>
      <c r="G90" s="1">
        <v>7</v>
      </c>
      <c r="H90" s="2" t="s">
        <v>24</v>
      </c>
      <c r="I90" s="2" t="s">
        <v>107</v>
      </c>
      <c r="J90" s="2"/>
      <c r="K90" s="2" t="s">
        <v>108</v>
      </c>
      <c r="L90" s="26">
        <v>275</v>
      </c>
      <c r="M90" s="10">
        <v>2025719.18</v>
      </c>
      <c r="N90" s="10"/>
      <c r="O90" s="14">
        <v>2009340.36</v>
      </c>
      <c r="P90" s="14"/>
      <c r="Q90" s="21">
        <f t="shared" si="7"/>
        <v>16378.819999999832</v>
      </c>
      <c r="R90" s="8">
        <f t="shared" si="12"/>
        <v>401868.07200000004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21">
        <f t="shared" si="8"/>
        <v>0</v>
      </c>
      <c r="AB90" s="21">
        <f t="shared" si="9"/>
        <v>401868.07200000004</v>
      </c>
      <c r="AC90" s="21">
        <f t="shared" si="10"/>
        <v>1607472.2880000002</v>
      </c>
      <c r="AD90" s="21">
        <f t="shared" si="11"/>
        <v>1623851.108</v>
      </c>
      <c r="AE90" s="24" t="s">
        <v>153</v>
      </c>
    </row>
    <row r="91" spans="1:31" ht="15.6" hidden="1" x14ac:dyDescent="0.3">
      <c r="A91" s="12" t="s">
        <v>98</v>
      </c>
      <c r="B91" s="12">
        <v>2025</v>
      </c>
      <c r="C91" s="12" t="s">
        <v>160</v>
      </c>
      <c r="D91" s="12" t="s">
        <v>37</v>
      </c>
      <c r="E91" s="13">
        <v>16879</v>
      </c>
      <c r="F91" s="13" t="s">
        <v>42</v>
      </c>
      <c r="G91" s="1">
        <v>8</v>
      </c>
      <c r="H91" s="2" t="s">
        <v>24</v>
      </c>
      <c r="I91" s="2" t="s">
        <v>107</v>
      </c>
      <c r="J91" s="2"/>
      <c r="K91" s="2" t="s">
        <v>109</v>
      </c>
      <c r="L91" s="26">
        <v>280</v>
      </c>
      <c r="M91" s="10">
        <v>2535373.4900000002</v>
      </c>
      <c r="N91" s="10"/>
      <c r="O91" s="14">
        <v>2584327.9700000002</v>
      </c>
      <c r="P91" s="14"/>
      <c r="Q91" s="21">
        <f t="shared" si="7"/>
        <v>-48954.479999999981</v>
      </c>
      <c r="R91" s="8">
        <f t="shared" si="12"/>
        <v>516865.59400000004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21">
        <f t="shared" si="8"/>
        <v>0</v>
      </c>
      <c r="AB91" s="21">
        <f t="shared" si="9"/>
        <v>516865.59400000004</v>
      </c>
      <c r="AC91" s="21">
        <f t="shared" si="10"/>
        <v>2067462.3760000002</v>
      </c>
      <c r="AD91" s="21">
        <f t="shared" si="11"/>
        <v>2018507.8960000002</v>
      </c>
      <c r="AE91" s="24" t="s">
        <v>153</v>
      </c>
    </row>
    <row r="92" spans="1:31" ht="15.6" hidden="1" x14ac:dyDescent="0.3">
      <c r="A92" s="12" t="s">
        <v>98</v>
      </c>
      <c r="B92" s="12">
        <v>2025</v>
      </c>
      <c r="C92" s="12" t="s">
        <v>160</v>
      </c>
      <c r="D92" s="12" t="s">
        <v>37</v>
      </c>
      <c r="E92" s="13">
        <v>16879</v>
      </c>
      <c r="F92" s="13" t="s">
        <v>42</v>
      </c>
      <c r="G92" s="1">
        <v>9</v>
      </c>
      <c r="H92" s="2" t="s">
        <v>24</v>
      </c>
      <c r="I92" s="2" t="s">
        <v>107</v>
      </c>
      <c r="J92" s="2"/>
      <c r="K92" s="2" t="s">
        <v>110</v>
      </c>
      <c r="L92" s="26">
        <v>125</v>
      </c>
      <c r="M92" s="10">
        <v>565528.51</v>
      </c>
      <c r="N92" s="10"/>
      <c r="O92" s="14">
        <v>581155.59</v>
      </c>
      <c r="P92" s="14"/>
      <c r="Q92" s="21">
        <f t="shared" si="7"/>
        <v>-15627.079999999958</v>
      </c>
      <c r="R92" s="8">
        <f t="shared" si="12"/>
        <v>116231.118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21">
        <f t="shared" si="8"/>
        <v>0</v>
      </c>
      <c r="AB92" s="21">
        <f t="shared" si="9"/>
        <v>116231.118</v>
      </c>
      <c r="AC92" s="21">
        <f t="shared" si="10"/>
        <v>464924.47199999995</v>
      </c>
      <c r="AD92" s="21">
        <f t="shared" si="11"/>
        <v>449297.39199999999</v>
      </c>
      <c r="AE92" s="24" t="s">
        <v>153</v>
      </c>
    </row>
    <row r="93" spans="1:31" ht="15.6" hidden="1" x14ac:dyDescent="0.3">
      <c r="A93" s="12" t="s">
        <v>98</v>
      </c>
      <c r="B93" s="12">
        <v>2025</v>
      </c>
      <c r="C93" s="12" t="s">
        <v>160</v>
      </c>
      <c r="D93" s="12" t="s">
        <v>37</v>
      </c>
      <c r="E93" s="13">
        <v>16879</v>
      </c>
      <c r="F93" s="13" t="s">
        <v>42</v>
      </c>
      <c r="G93" s="1">
        <v>10</v>
      </c>
      <c r="H93" s="2" t="s">
        <v>24</v>
      </c>
      <c r="I93" s="2" t="s">
        <v>107</v>
      </c>
      <c r="J93" s="2"/>
      <c r="K93" s="2" t="s">
        <v>111</v>
      </c>
      <c r="L93" s="26">
        <v>100</v>
      </c>
      <c r="M93" s="10">
        <v>693468.93</v>
      </c>
      <c r="N93" s="10"/>
      <c r="O93" s="14">
        <v>671509.05</v>
      </c>
      <c r="P93" s="14"/>
      <c r="Q93" s="21">
        <f t="shared" si="7"/>
        <v>21959.880000000005</v>
      </c>
      <c r="R93" s="8">
        <f t="shared" si="12"/>
        <v>134301.81000000003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21">
        <f t="shared" si="8"/>
        <v>0</v>
      </c>
      <c r="AB93" s="21">
        <f t="shared" si="9"/>
        <v>134301.81000000003</v>
      </c>
      <c r="AC93" s="21">
        <f t="shared" si="10"/>
        <v>537207.24</v>
      </c>
      <c r="AD93" s="21">
        <f t="shared" si="11"/>
        <v>559167.12</v>
      </c>
      <c r="AE93" s="24" t="s">
        <v>153</v>
      </c>
    </row>
    <row r="94" spans="1:31" ht="15.6" hidden="1" x14ac:dyDescent="0.3">
      <c r="A94" s="12" t="s">
        <v>98</v>
      </c>
      <c r="B94" s="12">
        <v>2025</v>
      </c>
      <c r="C94" s="12" t="s">
        <v>160</v>
      </c>
      <c r="D94" s="12" t="s">
        <v>37</v>
      </c>
      <c r="E94" s="13">
        <v>16879</v>
      </c>
      <c r="F94" s="13" t="s">
        <v>42</v>
      </c>
      <c r="G94" s="1">
        <v>11</v>
      </c>
      <c r="H94" s="2" t="s">
        <v>24</v>
      </c>
      <c r="I94" s="2" t="s">
        <v>107</v>
      </c>
      <c r="J94" s="2"/>
      <c r="K94" s="2" t="s">
        <v>112</v>
      </c>
      <c r="L94" s="26">
        <v>1000</v>
      </c>
      <c r="M94" s="10">
        <v>2094659.12</v>
      </c>
      <c r="N94" s="10"/>
      <c r="O94" s="14">
        <v>2214571.5</v>
      </c>
      <c r="P94" s="14"/>
      <c r="Q94" s="21">
        <f t="shared" si="7"/>
        <v>-119912.37999999989</v>
      </c>
      <c r="R94" s="8">
        <f t="shared" si="12"/>
        <v>442914.30000000005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21">
        <f t="shared" si="8"/>
        <v>0</v>
      </c>
      <c r="AB94" s="21">
        <f t="shared" si="9"/>
        <v>442914.30000000005</v>
      </c>
      <c r="AC94" s="21">
        <f t="shared" si="10"/>
        <v>1771657.2</v>
      </c>
      <c r="AD94" s="21">
        <f t="shared" si="11"/>
        <v>1651744.82</v>
      </c>
      <c r="AE94" s="24" t="s">
        <v>153</v>
      </c>
    </row>
    <row r="95" spans="1:31" ht="31.2" hidden="1" x14ac:dyDescent="0.3">
      <c r="A95" s="12" t="s">
        <v>98</v>
      </c>
      <c r="B95" s="12">
        <v>2025</v>
      </c>
      <c r="C95" s="12" t="s">
        <v>160</v>
      </c>
      <c r="D95" s="12" t="s">
        <v>37</v>
      </c>
      <c r="E95" s="13">
        <v>16879</v>
      </c>
      <c r="F95" s="13" t="s">
        <v>42</v>
      </c>
      <c r="G95" s="1">
        <v>12</v>
      </c>
      <c r="H95" s="2" t="s">
        <v>24</v>
      </c>
      <c r="I95" s="2" t="s">
        <v>107</v>
      </c>
      <c r="J95" s="2"/>
      <c r="K95" s="5" t="s">
        <v>113</v>
      </c>
      <c r="L95" s="26">
        <v>75</v>
      </c>
      <c r="M95" s="10">
        <v>1228598.75</v>
      </c>
      <c r="N95" s="10"/>
      <c r="O95" s="14">
        <v>1298144.8700000001</v>
      </c>
      <c r="P95" s="14"/>
      <c r="Q95" s="21">
        <f t="shared" si="7"/>
        <v>-69546.120000000112</v>
      </c>
      <c r="R95" s="8">
        <f>O95*20%</f>
        <v>259628.97400000005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21">
        <f t="shared" si="8"/>
        <v>0</v>
      </c>
      <c r="AB95" s="21">
        <f t="shared" si="9"/>
        <v>259628.97400000005</v>
      </c>
      <c r="AC95" s="21">
        <f t="shared" si="10"/>
        <v>1038515.8960000001</v>
      </c>
      <c r="AD95" s="21">
        <f t="shared" si="11"/>
        <v>968969.77599999995</v>
      </c>
      <c r="AE95" s="24" t="s">
        <v>153</v>
      </c>
    </row>
    <row r="96" spans="1:31" ht="15.6" hidden="1" x14ac:dyDescent="0.3">
      <c r="A96" s="12" t="s">
        <v>98</v>
      </c>
      <c r="B96" s="12">
        <v>2025</v>
      </c>
      <c r="C96" s="12" t="s">
        <v>160</v>
      </c>
      <c r="D96" s="12" t="s">
        <v>37</v>
      </c>
      <c r="E96" s="13">
        <v>16879</v>
      </c>
      <c r="F96" s="13" t="s">
        <v>42</v>
      </c>
      <c r="G96" s="1">
        <v>13</v>
      </c>
      <c r="H96" s="2" t="s">
        <v>24</v>
      </c>
      <c r="I96" s="2" t="s">
        <v>107</v>
      </c>
      <c r="J96" s="2"/>
      <c r="K96" s="2" t="s">
        <v>114</v>
      </c>
      <c r="L96" s="26">
        <v>30</v>
      </c>
      <c r="M96" s="10">
        <v>2295873.41</v>
      </c>
      <c r="N96" s="10"/>
      <c r="O96" s="14">
        <v>2424188.91</v>
      </c>
      <c r="P96" s="14"/>
      <c r="Q96" s="21">
        <f t="shared" si="7"/>
        <v>-128315.5</v>
      </c>
      <c r="R96" s="8">
        <f>O96*20%</f>
        <v>484837.78200000006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21">
        <f t="shared" si="8"/>
        <v>0</v>
      </c>
      <c r="AB96" s="21">
        <f t="shared" si="9"/>
        <v>484837.78200000006</v>
      </c>
      <c r="AC96" s="21">
        <f t="shared" si="10"/>
        <v>1939351.128</v>
      </c>
      <c r="AD96" s="21">
        <f t="shared" si="11"/>
        <v>1811035.628</v>
      </c>
      <c r="AE96" s="24" t="s">
        <v>153</v>
      </c>
    </row>
    <row r="97" spans="1:31" ht="31.2" hidden="1" x14ac:dyDescent="0.3">
      <c r="A97" s="12" t="s">
        <v>98</v>
      </c>
      <c r="B97" s="12">
        <v>2025</v>
      </c>
      <c r="C97" s="12" t="s">
        <v>160</v>
      </c>
      <c r="D97" s="12" t="s">
        <v>37</v>
      </c>
      <c r="E97" s="13">
        <v>16879</v>
      </c>
      <c r="F97" s="13" t="s">
        <v>42</v>
      </c>
      <c r="G97" s="1">
        <v>3</v>
      </c>
      <c r="H97" s="4" t="s">
        <v>39</v>
      </c>
      <c r="I97" s="2" t="s">
        <v>107</v>
      </c>
      <c r="J97" s="2"/>
      <c r="K97" s="5" t="s">
        <v>115</v>
      </c>
      <c r="L97" s="26">
        <v>1000</v>
      </c>
      <c r="M97" s="10">
        <f>M89</f>
        <v>3126304.2513624178</v>
      </c>
      <c r="N97" s="10"/>
      <c r="O97" s="14">
        <v>2813673.83</v>
      </c>
      <c r="P97" s="14"/>
      <c r="Q97" s="21">
        <f t="shared" si="7"/>
        <v>312630.42136241775</v>
      </c>
      <c r="R97" s="8">
        <f t="shared" ref="R97:R102" si="13">O97*20%</f>
        <v>562734.76600000006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21">
        <f t="shared" si="8"/>
        <v>0</v>
      </c>
      <c r="AB97" s="21">
        <f t="shared" si="9"/>
        <v>562734.76600000006</v>
      </c>
      <c r="AC97" s="21">
        <f t="shared" si="10"/>
        <v>2250939.0640000002</v>
      </c>
      <c r="AD97" s="21">
        <f t="shared" si="11"/>
        <v>2563569.485362418</v>
      </c>
      <c r="AE97" s="24" t="s">
        <v>153</v>
      </c>
    </row>
    <row r="98" spans="1:31" ht="31.2" hidden="1" x14ac:dyDescent="0.3">
      <c r="A98" s="12" t="s">
        <v>98</v>
      </c>
      <c r="B98" s="12">
        <v>2025</v>
      </c>
      <c r="C98" s="12" t="s">
        <v>160</v>
      </c>
      <c r="D98" s="12" t="s">
        <v>37</v>
      </c>
      <c r="E98" s="13">
        <v>16879</v>
      </c>
      <c r="F98" s="13" t="s">
        <v>42</v>
      </c>
      <c r="G98" s="1">
        <v>4</v>
      </c>
      <c r="H98" s="4" t="s">
        <v>39</v>
      </c>
      <c r="I98" s="2" t="s">
        <v>107</v>
      </c>
      <c r="J98" s="2"/>
      <c r="K98" s="4" t="s">
        <v>113</v>
      </c>
      <c r="L98" s="26">
        <v>75</v>
      </c>
      <c r="M98" s="10">
        <f>M89</f>
        <v>3126304.2513624178</v>
      </c>
      <c r="N98" s="10"/>
      <c r="O98" s="14">
        <v>2813673.83</v>
      </c>
      <c r="P98" s="14"/>
      <c r="Q98" s="21">
        <f t="shared" si="7"/>
        <v>312630.42136241775</v>
      </c>
      <c r="R98" s="8">
        <f t="shared" si="13"/>
        <v>562734.76600000006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21">
        <f t="shared" si="8"/>
        <v>0</v>
      </c>
      <c r="AB98" s="21">
        <f t="shared" si="9"/>
        <v>562734.76600000006</v>
      </c>
      <c r="AC98" s="21">
        <f t="shared" si="10"/>
        <v>2250939.0640000002</v>
      </c>
      <c r="AD98" s="21">
        <f t="shared" si="11"/>
        <v>2563569.485362418</v>
      </c>
      <c r="AE98" s="24" t="s">
        <v>153</v>
      </c>
    </row>
    <row r="99" spans="1:31" ht="15.6" hidden="1" x14ac:dyDescent="0.3">
      <c r="A99" s="12" t="s">
        <v>98</v>
      </c>
      <c r="B99" s="12">
        <v>2025</v>
      </c>
      <c r="C99" s="12" t="s">
        <v>160</v>
      </c>
      <c r="D99" s="12" t="s">
        <v>116</v>
      </c>
      <c r="E99" s="13">
        <v>16879</v>
      </c>
      <c r="F99" s="13" t="s">
        <v>53</v>
      </c>
      <c r="G99" s="1">
        <v>14</v>
      </c>
      <c r="H99" s="2" t="s">
        <v>24</v>
      </c>
      <c r="I99" s="2" t="s">
        <v>117</v>
      </c>
      <c r="J99" s="2"/>
      <c r="K99" s="2" t="s">
        <v>118</v>
      </c>
      <c r="L99" s="26">
        <v>75</v>
      </c>
      <c r="M99" s="10">
        <v>705067.08</v>
      </c>
      <c r="N99" s="10"/>
      <c r="O99" s="14">
        <v>648739.39</v>
      </c>
      <c r="P99" s="14"/>
      <c r="Q99" s="21">
        <f t="shared" si="7"/>
        <v>56327.689999999944</v>
      </c>
      <c r="R99" s="8">
        <f t="shared" si="13"/>
        <v>129747.87800000001</v>
      </c>
      <c r="S99" s="8">
        <v>393436.7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21">
        <f t="shared" si="8"/>
        <v>393436.7</v>
      </c>
      <c r="AB99" s="21">
        <f t="shared" si="9"/>
        <v>523184.57800000004</v>
      </c>
      <c r="AC99" s="21">
        <f t="shared" si="10"/>
        <v>125554.81199999998</v>
      </c>
      <c r="AD99" s="21">
        <f t="shared" si="11"/>
        <v>181882.50199999992</v>
      </c>
      <c r="AE99" s="24" t="s">
        <v>153</v>
      </c>
    </row>
    <row r="100" spans="1:31" ht="15.6" hidden="1" x14ac:dyDescent="0.3">
      <c r="A100" s="12" t="s">
        <v>98</v>
      </c>
      <c r="B100" s="12">
        <v>2025</v>
      </c>
      <c r="C100" s="12" t="s">
        <v>160</v>
      </c>
      <c r="D100" s="12" t="s">
        <v>116</v>
      </c>
      <c r="E100" s="13">
        <v>16879</v>
      </c>
      <c r="F100" s="13" t="s">
        <v>53</v>
      </c>
      <c r="G100" s="1">
        <v>15</v>
      </c>
      <c r="H100" s="2" t="s">
        <v>24</v>
      </c>
      <c r="I100" s="2" t="s">
        <v>117</v>
      </c>
      <c r="J100" s="2"/>
      <c r="K100" s="2" t="s">
        <v>119</v>
      </c>
      <c r="L100" s="26">
        <v>350</v>
      </c>
      <c r="M100" s="10">
        <v>1502938.05</v>
      </c>
      <c r="N100" s="10"/>
      <c r="O100" s="14">
        <v>1396857.16</v>
      </c>
      <c r="P100" s="14"/>
      <c r="Q100" s="21">
        <f t="shared" si="7"/>
        <v>106080.89000000013</v>
      </c>
      <c r="R100" s="8">
        <f t="shared" si="13"/>
        <v>279371.43199999997</v>
      </c>
      <c r="S100" s="8">
        <v>900373.29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21">
        <f>SUM(S100:Z100)</f>
        <v>900373.29</v>
      </c>
      <c r="AB100" s="21">
        <f t="shared" si="9"/>
        <v>1179744.7220000001</v>
      </c>
      <c r="AC100" s="21">
        <f t="shared" si="10"/>
        <v>217112.43799999985</v>
      </c>
      <c r="AD100" s="21">
        <f t="shared" si="11"/>
        <v>323193.32799999998</v>
      </c>
      <c r="AE100" s="24" t="s">
        <v>153</v>
      </c>
    </row>
    <row r="101" spans="1:31" ht="31.2" hidden="1" x14ac:dyDescent="0.3">
      <c r="A101" s="12" t="s">
        <v>98</v>
      </c>
      <c r="B101" s="12">
        <v>2025</v>
      </c>
      <c r="C101" s="12" t="s">
        <v>160</v>
      </c>
      <c r="D101" s="12" t="s">
        <v>37</v>
      </c>
      <c r="E101" s="13">
        <v>16879</v>
      </c>
      <c r="F101" s="13" t="s">
        <v>53</v>
      </c>
      <c r="G101" s="1">
        <v>5</v>
      </c>
      <c r="H101" s="4" t="s">
        <v>39</v>
      </c>
      <c r="I101" s="2" t="s">
        <v>117</v>
      </c>
      <c r="J101" s="2"/>
      <c r="K101" s="4" t="s">
        <v>120</v>
      </c>
      <c r="L101" s="26">
        <v>380</v>
      </c>
      <c r="M101" s="10">
        <f>M89</f>
        <v>3126304.2513624178</v>
      </c>
      <c r="N101" s="10"/>
      <c r="O101" s="14">
        <v>2813673.83</v>
      </c>
      <c r="P101" s="14"/>
      <c r="Q101" s="21">
        <f t="shared" si="7"/>
        <v>312630.42136241775</v>
      </c>
      <c r="R101" s="8">
        <f>O101*20%</f>
        <v>562734.76600000006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21">
        <f t="shared" si="8"/>
        <v>0</v>
      </c>
      <c r="AB101" s="21">
        <f t="shared" si="9"/>
        <v>562734.76600000006</v>
      </c>
      <c r="AC101" s="21">
        <f t="shared" si="10"/>
        <v>2250939.0640000002</v>
      </c>
      <c r="AD101" s="21">
        <f t="shared" si="11"/>
        <v>2563569.485362418</v>
      </c>
      <c r="AE101" s="24" t="s">
        <v>153</v>
      </c>
    </row>
    <row r="102" spans="1:31" ht="15.6" hidden="1" x14ac:dyDescent="0.3">
      <c r="A102" s="12" t="s">
        <v>98</v>
      </c>
      <c r="B102" s="12">
        <v>2025</v>
      </c>
      <c r="C102" s="12" t="s">
        <v>160</v>
      </c>
      <c r="D102" s="12" t="s">
        <v>37</v>
      </c>
      <c r="E102" s="13">
        <v>16879</v>
      </c>
      <c r="F102" s="13" t="s">
        <v>53</v>
      </c>
      <c r="G102" s="1">
        <v>6</v>
      </c>
      <c r="H102" s="4" t="s">
        <v>39</v>
      </c>
      <c r="I102" s="2" t="s">
        <v>117</v>
      </c>
      <c r="J102" s="2"/>
      <c r="K102" s="2" t="s">
        <v>121</v>
      </c>
      <c r="L102" s="26">
        <v>250</v>
      </c>
      <c r="M102" s="10">
        <f>M89</f>
        <v>3126304.2513624178</v>
      </c>
      <c r="N102" s="10"/>
      <c r="O102" s="14">
        <v>2813673.83</v>
      </c>
      <c r="P102" s="14"/>
      <c r="Q102" s="21">
        <f t="shared" si="7"/>
        <v>312630.42136241775</v>
      </c>
      <c r="R102" s="8">
        <f t="shared" si="13"/>
        <v>562734.76600000006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21">
        <f t="shared" si="8"/>
        <v>0</v>
      </c>
      <c r="AB102" s="21">
        <f>AA102+R102</f>
        <v>562734.76600000006</v>
      </c>
      <c r="AC102" s="21">
        <f t="shared" si="10"/>
        <v>2250939.0640000002</v>
      </c>
      <c r="AD102" s="21">
        <f t="shared" si="11"/>
        <v>2563569.485362418</v>
      </c>
      <c r="AE102" s="24" t="s">
        <v>153</v>
      </c>
    </row>
    <row r="103" spans="1:31" hidden="1" x14ac:dyDescent="0.3">
      <c r="M103" s="15">
        <f>SUM(M2:M102)</f>
        <v>266244577.24318627</v>
      </c>
      <c r="N103" s="15"/>
      <c r="O103" s="15">
        <f t="shared" ref="O103:AD103" si="14">SUM(O2:O102)</f>
        <v>176177520.62000006</v>
      </c>
      <c r="P103" s="15"/>
      <c r="Q103" s="15">
        <f t="shared" si="14"/>
        <v>90067056.623186156</v>
      </c>
      <c r="R103" s="15">
        <f t="shared" si="14"/>
        <v>33352793.115999989</v>
      </c>
      <c r="S103" s="15">
        <f t="shared" si="14"/>
        <v>6352233.29</v>
      </c>
      <c r="T103" s="15">
        <f t="shared" si="14"/>
        <v>11634599.060000001</v>
      </c>
      <c r="U103" s="15">
        <f t="shared" si="14"/>
        <v>3493695.05</v>
      </c>
      <c r="V103" s="15">
        <f t="shared" si="14"/>
        <v>0</v>
      </c>
      <c r="W103" s="15">
        <f t="shared" si="14"/>
        <v>0</v>
      </c>
      <c r="X103" s="15">
        <f t="shared" si="14"/>
        <v>0</v>
      </c>
      <c r="Y103" s="15">
        <f t="shared" si="14"/>
        <v>0</v>
      </c>
      <c r="Z103" s="15">
        <f t="shared" si="14"/>
        <v>0</v>
      </c>
      <c r="AA103" s="15">
        <f t="shared" si="14"/>
        <v>21480527.399999999</v>
      </c>
      <c r="AB103" s="15">
        <f t="shared" si="14"/>
        <v>54833320.51600001</v>
      </c>
      <c r="AC103" s="15">
        <f t="shared" si="14"/>
        <v>121344200.10399997</v>
      </c>
      <c r="AD103" s="15">
        <f t="shared" si="14"/>
        <v>211411256.72718617</v>
      </c>
    </row>
  </sheetData>
  <autoFilter ref="A1:AE103" xr:uid="{BC6F37E4-1F91-4A47-AD28-286628697739}">
    <filterColumn colId="3">
      <filters>
        <filter val="CONSTRUCTORA GEODRIL S.R.L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2026-05-10T21:43:00Z</dcterms:created>
  <dcterms:modified xsi:type="dcterms:W3CDTF">2026-06-09T15:42:26Z</dcterms:modified>
</cp:coreProperties>
</file>