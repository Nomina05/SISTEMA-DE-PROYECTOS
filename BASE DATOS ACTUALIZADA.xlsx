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esc\Documents\New project\"/>
    </mc:Choice>
  </mc:AlternateContent>
  <xr:revisionPtr revIDLastSave="0" documentId="13_ncr:1_{C8BFFA15-5EE5-47AA-AFA6-6CCD4B4FCF2D}" xr6:coauthVersionLast="47" xr6:coauthVersionMax="47" xr10:uidLastSave="{00000000-0000-0000-0000-000000000000}"/>
  <bookViews>
    <workbookView xWindow="-108" yWindow="-108" windowWidth="23256" windowHeight="12576" xr2:uid="{40985152-455C-4ECA-8C08-C5A378BF46CE}"/>
  </bookViews>
  <sheets>
    <sheet name="Hoja1" sheetId="1" r:id="rId1"/>
    <sheet name="RESUMEN POR TERRITORIO" sheetId="4" r:id="rId2"/>
    <sheet name="Hoja3" sheetId="3" r:id="rId3"/>
  </sheets>
  <definedNames>
    <definedName name="_xlnm._FilterDatabase" localSheetId="0" hidden="1">Hoja1!$A$1:$AF$136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3" i="1" l="1"/>
  <c r="M113" i="1" l="1"/>
  <c r="O111" i="1"/>
  <c r="O112" i="1"/>
  <c r="D3" i="3" l="1"/>
  <c r="E8" i="3"/>
  <c r="E9" i="3" s="1"/>
  <c r="Z45" i="1"/>
  <c r="AA45" i="1" s="1"/>
  <c r="Z46" i="1"/>
  <c r="AA46" i="1" s="1"/>
  <c r="Z47" i="1"/>
  <c r="AA47" i="1" s="1"/>
  <c r="AC47" i="1" s="1"/>
  <c r="Z48" i="1"/>
  <c r="AA48" i="1" s="1"/>
  <c r="Z49" i="1"/>
  <c r="AA49" i="1" s="1"/>
  <c r="AB49" i="1" s="1"/>
  <c r="Z2" i="1"/>
  <c r="AA2" i="1" s="1"/>
  <c r="AC2" i="1" s="1"/>
  <c r="Z3" i="1"/>
  <c r="AA3" i="1" s="1"/>
  <c r="Z4" i="1"/>
  <c r="AA4" i="1" s="1"/>
  <c r="AB4" i="1" s="1"/>
  <c r="Z5" i="1"/>
  <c r="AA5" i="1" s="1"/>
  <c r="AC5" i="1" s="1"/>
  <c r="Z6" i="1"/>
  <c r="AA6" i="1" s="1"/>
  <c r="Z7" i="1"/>
  <c r="AA7" i="1" s="1"/>
  <c r="AB7" i="1" s="1"/>
  <c r="Z8" i="1"/>
  <c r="AA8" i="1" s="1"/>
  <c r="AC8" i="1" s="1"/>
  <c r="Z9" i="1"/>
  <c r="AA9" i="1" s="1"/>
  <c r="Z10" i="1"/>
  <c r="AA10" i="1" s="1"/>
  <c r="AB10" i="1" s="1"/>
  <c r="Z11" i="1"/>
  <c r="AA11" i="1" s="1"/>
  <c r="AC11" i="1" s="1"/>
  <c r="Z12" i="1"/>
  <c r="AA12" i="1" s="1"/>
  <c r="AB12" i="1" s="1"/>
  <c r="Z13" i="1"/>
  <c r="AA13" i="1" s="1"/>
  <c r="AB13" i="1" s="1"/>
  <c r="Z14" i="1"/>
  <c r="AA14" i="1" s="1"/>
  <c r="AC14" i="1" s="1"/>
  <c r="Z15" i="1"/>
  <c r="AA15" i="1" s="1"/>
  <c r="Z16" i="1"/>
  <c r="AA16" i="1" s="1"/>
  <c r="AB16" i="1" s="1"/>
  <c r="Z50" i="1"/>
  <c r="AA50" i="1" s="1"/>
  <c r="AC50" i="1" s="1"/>
  <c r="Z51" i="1"/>
  <c r="AA51" i="1" s="1"/>
  <c r="Z52" i="1"/>
  <c r="AA52" i="1" s="1"/>
  <c r="AB52" i="1" s="1"/>
  <c r="Z53" i="1"/>
  <c r="AA53" i="1" s="1"/>
  <c r="AC53" i="1" s="1"/>
  <c r="Z54" i="1"/>
  <c r="AA54" i="1" s="1"/>
  <c r="Z55" i="1"/>
  <c r="AA55" i="1" s="1"/>
  <c r="AB55" i="1" s="1"/>
  <c r="Z64" i="1"/>
  <c r="AA64" i="1" s="1"/>
  <c r="AC64" i="1" s="1"/>
  <c r="Z65" i="1"/>
  <c r="AA65" i="1" s="1"/>
  <c r="Z66" i="1"/>
  <c r="AA66" i="1" s="1"/>
  <c r="AB66" i="1" s="1"/>
  <c r="Z67" i="1"/>
  <c r="AA67" i="1" s="1"/>
  <c r="AC67" i="1" s="1"/>
  <c r="Z68" i="1"/>
  <c r="AA68" i="1" s="1"/>
  <c r="Z56" i="1"/>
  <c r="AA56" i="1" s="1"/>
  <c r="AB56" i="1" s="1"/>
  <c r="Z73" i="1"/>
  <c r="AA73" i="1" s="1"/>
  <c r="AC73" i="1" s="1"/>
  <c r="Z69" i="1"/>
  <c r="AA69" i="1" s="1"/>
  <c r="Z57" i="1"/>
  <c r="AA57" i="1" s="1"/>
  <c r="AB57" i="1" s="1"/>
  <c r="Z58" i="1"/>
  <c r="AA58" i="1" s="1"/>
  <c r="AC58" i="1" s="1"/>
  <c r="Z59" i="1"/>
  <c r="AA59" i="1" s="1"/>
  <c r="Z70" i="1"/>
  <c r="AA70" i="1" s="1"/>
  <c r="AB70" i="1" s="1"/>
  <c r="Z60" i="1"/>
  <c r="AA60" i="1" s="1"/>
  <c r="AC60" i="1" s="1"/>
  <c r="Z71" i="1"/>
  <c r="AA71" i="1" s="1"/>
  <c r="Z72" i="1"/>
  <c r="AA72" i="1" s="1"/>
  <c r="AB72" i="1" s="1"/>
  <c r="Z86" i="1"/>
  <c r="AA86" i="1" s="1"/>
  <c r="AC86" i="1" s="1"/>
  <c r="Z62" i="1"/>
  <c r="AA62" i="1" s="1"/>
  <c r="Z88" i="1"/>
  <c r="AA88" i="1" s="1"/>
  <c r="AB88" i="1" s="1"/>
  <c r="Z63" i="1"/>
  <c r="AA63" i="1" s="1"/>
  <c r="AC63" i="1" s="1"/>
  <c r="Z90" i="1"/>
  <c r="AA90" i="1" s="1"/>
  <c r="Z91" i="1"/>
  <c r="AA91" i="1" s="1"/>
  <c r="AB91" i="1" s="1"/>
  <c r="Z92" i="1"/>
  <c r="AA92" i="1" s="1"/>
  <c r="AC92" i="1" s="1"/>
  <c r="Z93" i="1"/>
  <c r="AA93" i="1" s="1"/>
  <c r="Z94" i="1"/>
  <c r="AA94" i="1" s="1"/>
  <c r="AB94" i="1" s="1"/>
  <c r="Z95" i="1"/>
  <c r="AA95" i="1" s="1"/>
  <c r="AC95" i="1" s="1"/>
  <c r="Z96" i="1"/>
  <c r="AA96" i="1" s="1"/>
  <c r="Z97" i="1"/>
  <c r="AA97" i="1" s="1"/>
  <c r="AB97" i="1" s="1"/>
  <c r="Z98" i="1"/>
  <c r="AA98" i="1" s="1"/>
  <c r="AC98" i="1" s="1"/>
  <c r="Z99" i="1"/>
  <c r="AA99" i="1" s="1"/>
  <c r="Z100" i="1"/>
  <c r="AA100" i="1" s="1"/>
  <c r="AB100" i="1" s="1"/>
  <c r="Z101" i="1"/>
  <c r="AA101" i="1" s="1"/>
  <c r="AC101" i="1" s="1"/>
  <c r="Z102" i="1"/>
  <c r="AA102" i="1" s="1"/>
  <c r="Z103" i="1"/>
  <c r="AA103" i="1" s="1"/>
  <c r="AB103" i="1" s="1"/>
  <c r="Z104" i="1"/>
  <c r="AA104" i="1" s="1"/>
  <c r="AC104" i="1" s="1"/>
  <c r="Z105" i="1"/>
  <c r="AA105" i="1" s="1"/>
  <c r="Z106" i="1"/>
  <c r="AA106" i="1" s="1"/>
  <c r="AB106" i="1" s="1"/>
  <c r="Z107" i="1"/>
  <c r="AA107" i="1" s="1"/>
  <c r="AC107" i="1" s="1"/>
  <c r="Z108" i="1"/>
  <c r="AA108" i="1" s="1"/>
  <c r="AB108" i="1" s="1"/>
  <c r="Z109" i="1"/>
  <c r="AA109" i="1" s="1"/>
  <c r="AB109" i="1" s="1"/>
  <c r="Z110" i="1"/>
  <c r="AA110" i="1" s="1"/>
  <c r="AC110" i="1" s="1"/>
  <c r="Z111" i="1"/>
  <c r="AA111" i="1" s="1"/>
  <c r="AB111" i="1" s="1"/>
  <c r="Z112" i="1"/>
  <c r="AA112" i="1" s="1"/>
  <c r="AB112" i="1" s="1"/>
  <c r="AB98" i="1" l="1"/>
  <c r="AB63" i="1"/>
  <c r="AB14" i="1"/>
  <c r="AB67" i="1"/>
  <c r="AB2" i="1"/>
  <c r="AB104" i="1"/>
  <c r="AB64" i="1"/>
  <c r="AB47" i="1"/>
  <c r="AB110" i="1"/>
  <c r="AB92" i="1"/>
  <c r="AC12" i="1"/>
  <c r="AB107" i="1"/>
  <c r="AB86" i="1"/>
  <c r="AB58" i="1"/>
  <c r="AB53" i="1"/>
  <c r="AB5" i="1"/>
  <c r="AB11" i="1"/>
  <c r="AB102" i="1"/>
  <c r="AC102" i="1"/>
  <c r="AC51" i="1"/>
  <c r="AB51" i="1"/>
  <c r="AC108" i="1"/>
  <c r="AB101" i="1"/>
  <c r="AB62" i="1"/>
  <c r="AC62" i="1"/>
  <c r="AB50" i="1"/>
  <c r="AB3" i="1"/>
  <c r="AC3" i="1"/>
  <c r="AB69" i="1"/>
  <c r="AC69" i="1"/>
  <c r="AB9" i="1"/>
  <c r="AC9" i="1"/>
  <c r="AB99" i="1"/>
  <c r="AC99" i="1"/>
  <c r="AB73" i="1"/>
  <c r="AB15" i="1"/>
  <c r="AC15" i="1"/>
  <c r="AB8" i="1"/>
  <c r="AB65" i="1"/>
  <c r="AC65" i="1"/>
  <c r="AB71" i="1"/>
  <c r="AC71" i="1"/>
  <c r="AB93" i="1"/>
  <c r="AC93" i="1"/>
  <c r="AC111" i="1"/>
  <c r="AC105" i="1"/>
  <c r="AB105" i="1"/>
  <c r="AB60" i="1"/>
  <c r="AB54" i="1"/>
  <c r="AC54" i="1"/>
  <c r="AB48" i="1"/>
  <c r="AC48" i="1"/>
  <c r="AB90" i="1"/>
  <c r="AC90" i="1"/>
  <c r="AB68" i="1"/>
  <c r="AC68" i="1"/>
  <c r="AB96" i="1"/>
  <c r="AC96" i="1"/>
  <c r="AB46" i="1"/>
  <c r="AC46" i="1"/>
  <c r="AB6" i="1"/>
  <c r="AC6" i="1"/>
  <c r="AB95" i="1"/>
  <c r="AB59" i="1"/>
  <c r="AC59" i="1"/>
  <c r="AB45" i="1"/>
  <c r="AC45" i="1"/>
  <c r="AC112" i="1"/>
  <c r="AC109" i="1"/>
  <c r="AC106" i="1"/>
  <c r="AC103" i="1"/>
  <c r="AC100" i="1"/>
  <c r="AC97" i="1"/>
  <c r="AC94" i="1"/>
  <c r="AC91" i="1"/>
  <c r="AC88" i="1"/>
  <c r="AC72" i="1"/>
  <c r="AC70" i="1"/>
  <c r="AC57" i="1"/>
  <c r="AC56" i="1"/>
  <c r="AC66" i="1"/>
  <c r="AC55" i="1"/>
  <c r="AC52" i="1"/>
  <c r="AC16" i="1"/>
  <c r="AC13" i="1"/>
  <c r="AC10" i="1"/>
  <c r="AC7" i="1"/>
  <c r="AC4" i="1"/>
  <c r="AC49" i="1"/>
  <c r="O40" i="1"/>
  <c r="O41" i="1"/>
  <c r="O42" i="1"/>
  <c r="O43" i="1"/>
  <c r="O44" i="1"/>
  <c r="O45" i="1"/>
  <c r="O46" i="1"/>
  <c r="O47" i="1"/>
  <c r="O48" i="1"/>
  <c r="O49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50" i="1"/>
  <c r="O51" i="1"/>
  <c r="O52" i="1"/>
  <c r="O53" i="1"/>
  <c r="O54" i="1"/>
  <c r="O55" i="1"/>
  <c r="O64" i="1"/>
  <c r="O65" i="1"/>
  <c r="O66" i="1"/>
  <c r="O67" i="1"/>
  <c r="O68" i="1"/>
  <c r="O56" i="1"/>
  <c r="O73" i="1"/>
  <c r="O69" i="1"/>
  <c r="O57" i="1"/>
  <c r="O58" i="1"/>
  <c r="O59" i="1"/>
  <c r="O70" i="1"/>
  <c r="O60" i="1"/>
  <c r="O71" i="1"/>
  <c r="O72" i="1"/>
  <c r="O86" i="1"/>
  <c r="O62" i="1"/>
  <c r="O88" i="1"/>
  <c r="O63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35" i="1"/>
  <c r="O36" i="1"/>
  <c r="O37" i="1"/>
  <c r="O38" i="1"/>
  <c r="O39" i="1"/>
  <c r="Z25" i="1"/>
  <c r="AA25" i="1" s="1"/>
  <c r="Z26" i="1"/>
  <c r="AA26" i="1" s="1"/>
  <c r="AC26" i="1" s="1"/>
  <c r="Z27" i="1"/>
  <c r="AA27" i="1" s="1"/>
  <c r="AC27" i="1" s="1"/>
  <c r="Z28" i="1"/>
  <c r="AA28" i="1" s="1"/>
  <c r="Z29" i="1"/>
  <c r="AA29" i="1" s="1"/>
  <c r="AC29" i="1" s="1"/>
  <c r="Z30" i="1"/>
  <c r="AA30" i="1" s="1"/>
  <c r="AC30" i="1" s="1"/>
  <c r="Z31" i="1"/>
  <c r="AA31" i="1" s="1"/>
  <c r="Z32" i="1"/>
  <c r="AA32" i="1" s="1"/>
  <c r="AC32" i="1" s="1"/>
  <c r="Z33" i="1"/>
  <c r="AA33" i="1" s="1"/>
  <c r="AC33" i="1" s="1"/>
  <c r="Z34" i="1"/>
  <c r="AA34" i="1" s="1"/>
  <c r="B12" i="3"/>
  <c r="O25" i="1"/>
  <c r="O26" i="1"/>
  <c r="O27" i="1"/>
  <c r="O28" i="1"/>
  <c r="O29" i="1"/>
  <c r="O30" i="1"/>
  <c r="O31" i="1"/>
  <c r="O32" i="1"/>
  <c r="O33" i="1"/>
  <c r="O34" i="1"/>
  <c r="D2" i="3"/>
  <c r="Z21" i="1"/>
  <c r="AA21" i="1" s="1"/>
  <c r="Z22" i="1"/>
  <c r="AA22" i="1" s="1"/>
  <c r="Z23" i="1"/>
  <c r="AA23" i="1" s="1"/>
  <c r="AC23" i="1" s="1"/>
  <c r="Z24" i="1"/>
  <c r="AA24" i="1" s="1"/>
  <c r="AC24" i="1" s="1"/>
  <c r="Z35" i="1"/>
  <c r="AA35" i="1" s="1"/>
  <c r="AC35" i="1" s="1"/>
  <c r="Z36" i="1"/>
  <c r="AA36" i="1" s="1"/>
  <c r="AC36" i="1" s="1"/>
  <c r="Z37" i="1"/>
  <c r="AA37" i="1" s="1"/>
  <c r="Z38" i="1"/>
  <c r="AA38" i="1" s="1"/>
  <c r="AC38" i="1" s="1"/>
  <c r="Z39" i="1"/>
  <c r="AA39" i="1" s="1"/>
  <c r="AC39" i="1" s="1"/>
  <c r="Z40" i="1"/>
  <c r="AA40" i="1" s="1"/>
  <c r="Z41" i="1"/>
  <c r="AA41" i="1" s="1"/>
  <c r="AC41" i="1" s="1"/>
  <c r="Z42" i="1"/>
  <c r="AA42" i="1" s="1"/>
  <c r="AC42" i="1" s="1"/>
  <c r="Z43" i="1"/>
  <c r="AA43" i="1" s="1"/>
  <c r="Z44" i="1"/>
  <c r="AA44" i="1" s="1"/>
  <c r="O20" i="1"/>
  <c r="O21" i="1"/>
  <c r="O22" i="1"/>
  <c r="O23" i="1"/>
  <c r="O24" i="1"/>
  <c r="Z17" i="1"/>
  <c r="AA17" i="1" s="1"/>
  <c r="AB17" i="1" s="1"/>
  <c r="Z18" i="1"/>
  <c r="AA18" i="1" s="1"/>
  <c r="Z19" i="1"/>
  <c r="AA19" i="1" s="1"/>
  <c r="Z20" i="1"/>
  <c r="AA20" i="1" s="1"/>
  <c r="AC20" i="1" s="1"/>
  <c r="O17" i="1"/>
  <c r="O18" i="1"/>
  <c r="O19" i="1"/>
  <c r="I35" i="3"/>
  <c r="N15" i="3"/>
  <c r="O84" i="1"/>
  <c r="L15" i="3"/>
  <c r="I15" i="3"/>
  <c r="AB20" i="1" l="1"/>
  <c r="AB19" i="1"/>
  <c r="AC19" i="1"/>
  <c r="AC18" i="1"/>
  <c r="AB18" i="1"/>
  <c r="AC21" i="1"/>
  <c r="AB21" i="1"/>
  <c r="AC44" i="1"/>
  <c r="AB44" i="1"/>
  <c r="AB24" i="1"/>
  <c r="AC17" i="1"/>
  <c r="AB29" i="1"/>
  <c r="AB42" i="1"/>
  <c r="AB41" i="1"/>
  <c r="AB38" i="1"/>
  <c r="AB39" i="1"/>
  <c r="AB35" i="1"/>
  <c r="AB36" i="1"/>
  <c r="AB30" i="1"/>
  <c r="AB32" i="1"/>
  <c r="AB33" i="1"/>
  <c r="AB27" i="1"/>
  <c r="AB26" i="1"/>
  <c r="AB23" i="1"/>
  <c r="AC31" i="1"/>
  <c r="AB31" i="1"/>
  <c r="AB28" i="1"/>
  <c r="AC28" i="1"/>
  <c r="AC25" i="1"/>
  <c r="AB25" i="1"/>
  <c r="AB43" i="1"/>
  <c r="AC43" i="1"/>
  <c r="AB34" i="1"/>
  <c r="AC34" i="1"/>
  <c r="AC22" i="1"/>
  <c r="AB22" i="1"/>
  <c r="AC40" i="1"/>
  <c r="AB40" i="1"/>
  <c r="AB37" i="1"/>
  <c r="AC37" i="1"/>
  <c r="Z84" i="1" l="1"/>
  <c r="AA84" i="1" s="1"/>
  <c r="Z82" i="1"/>
  <c r="AA82" i="1" s="1"/>
  <c r="Z83" i="1"/>
  <c r="AA83" i="1" s="1"/>
  <c r="Z81" i="1"/>
  <c r="AA81" i="1" s="1"/>
  <c r="Z76" i="1"/>
  <c r="AA76" i="1" s="1"/>
  <c r="Z61" i="1"/>
  <c r="AA61" i="1" s="1"/>
  <c r="AB61" i="1" s="1"/>
  <c r="Z77" i="1"/>
  <c r="AA77" i="1" s="1"/>
  <c r="AC77" i="1" s="1"/>
  <c r="Z79" i="1"/>
  <c r="AA79" i="1" s="1"/>
  <c r="AB79" i="1" s="1"/>
  <c r="Z78" i="1"/>
  <c r="AA78" i="1" s="1"/>
  <c r="Z75" i="1"/>
  <c r="AA75" i="1" s="1"/>
  <c r="Z74" i="1"/>
  <c r="AA74" i="1" s="1"/>
  <c r="Z80" i="1"/>
  <c r="AA80" i="1" s="1"/>
  <c r="Z87" i="1"/>
  <c r="AA87" i="1" s="1"/>
  <c r="Z89" i="1"/>
  <c r="AA89" i="1" s="1"/>
  <c r="O82" i="1"/>
  <c r="O83" i="1"/>
  <c r="O81" i="1"/>
  <c r="O76" i="1"/>
  <c r="O61" i="1"/>
  <c r="O77" i="1"/>
  <c r="O79" i="1"/>
  <c r="O78" i="1"/>
  <c r="O75" i="1"/>
  <c r="O74" i="1"/>
  <c r="O80" i="1"/>
  <c r="O87" i="1"/>
  <c r="O89" i="1"/>
  <c r="O85" i="1"/>
  <c r="Z85" i="1"/>
  <c r="AA85" i="1" s="1"/>
  <c r="AC78" i="1" l="1"/>
  <c r="AB78" i="1"/>
  <c r="AC83" i="1"/>
  <c r="AB83" i="1"/>
  <c r="AC89" i="1"/>
  <c r="AB89" i="1"/>
  <c r="AB76" i="1"/>
  <c r="AC76" i="1"/>
  <c r="AC81" i="1"/>
  <c r="AB81" i="1"/>
  <c r="AC82" i="1"/>
  <c r="AB82" i="1"/>
  <c r="AC87" i="1"/>
  <c r="AB87" i="1"/>
  <c r="AC84" i="1"/>
  <c r="AB84" i="1"/>
  <c r="AB80" i="1"/>
  <c r="AC80" i="1"/>
  <c r="AB74" i="1"/>
  <c r="AC74" i="1"/>
  <c r="AC75" i="1"/>
  <c r="AB75" i="1"/>
  <c r="AB77" i="1"/>
  <c r="AC79" i="1"/>
  <c r="AC61" i="1"/>
  <c r="AC85" i="1"/>
  <c r="AB85" i="1"/>
</calcChain>
</file>

<file path=xl/sharedStrings.xml><?xml version="1.0" encoding="utf-8"?>
<sst xmlns="http://schemas.openxmlformats.org/spreadsheetml/2006/main" count="565" uniqueCount="197">
  <si>
    <t>Proceso de Compras</t>
  </si>
  <si>
    <t>Proveedor</t>
  </si>
  <si>
    <t>SNIP</t>
  </si>
  <si>
    <t>LOTE</t>
  </si>
  <si>
    <t>NO. LOTE</t>
  </si>
  <si>
    <t>Obra</t>
  </si>
  <si>
    <t>Municipio</t>
  </si>
  <si>
    <t>Distrito</t>
  </si>
  <si>
    <t>Sector</t>
  </si>
  <si>
    <t>Población (Hab)</t>
  </si>
  <si>
    <t>Monto Presupuesto RD$</t>
  </si>
  <si>
    <t xml:space="preserve">Monto Adjudicado </t>
  </si>
  <si>
    <t xml:space="preserve">Diponibilidad presupuestado versus adjudicado </t>
  </si>
  <si>
    <t xml:space="preserve">1era Cubicación </t>
  </si>
  <si>
    <t xml:space="preserve">2da Cubicación </t>
  </si>
  <si>
    <t xml:space="preserve">3ra Cubicación </t>
  </si>
  <si>
    <t xml:space="preserve">4ta Cubicación </t>
  </si>
  <si>
    <t xml:space="preserve">5ta Cubicación </t>
  </si>
  <si>
    <t xml:space="preserve">6ta Cubicación </t>
  </si>
  <si>
    <t xml:space="preserve">7ma Cubicación </t>
  </si>
  <si>
    <t xml:space="preserve">8va Cubicación </t>
  </si>
  <si>
    <t>Total Cubicado</t>
  </si>
  <si>
    <t>Total pagado</t>
  </si>
  <si>
    <t>Diponibilidad adjudicado</t>
  </si>
  <si>
    <t>Disponibilidad Proyecto</t>
  </si>
  <si>
    <t>Estatus</t>
  </si>
  <si>
    <t>CORAAMOCA-DAF-CM-2026-0024</t>
  </si>
  <si>
    <t>Moca</t>
  </si>
  <si>
    <t>Guauci</t>
  </si>
  <si>
    <t>En oferta</t>
  </si>
  <si>
    <t>Cuenta Presupuestaria</t>
  </si>
  <si>
    <t>2.2.2.1.01</t>
  </si>
  <si>
    <t>Publicidad y propaganda</t>
  </si>
  <si>
    <t>2.2.8.7.06</t>
  </si>
  <si>
    <t>Otros servicios técnicos profesionales</t>
  </si>
  <si>
    <t>2.3.9.9.05</t>
  </si>
  <si>
    <t>Productos y útiles diversos</t>
  </si>
  <si>
    <t>2.6.1.1.01</t>
  </si>
  <si>
    <t>Muebles, equipos de oficina y estantería</t>
  </si>
  <si>
    <t>2.6.1.3.01</t>
  </si>
  <si>
    <t>Equipos de tecnología de la información y comunicación</t>
  </si>
  <si>
    <t>2.6.4.1.01</t>
  </si>
  <si>
    <t>2.6.5.1.01</t>
  </si>
  <si>
    <t>Maquinaria y equipo agropecuario</t>
  </si>
  <si>
    <t>2.6.5.2.01</t>
  </si>
  <si>
    <t>Maquinaria y equipo industrial</t>
  </si>
  <si>
    <t>2.6.5.3.01</t>
  </si>
  <si>
    <t>2.6.5.4.02</t>
  </si>
  <si>
    <t>Equipos de climatización</t>
  </si>
  <si>
    <t>2.6.5.6.01</t>
  </si>
  <si>
    <t>Equipo de generación eléctrica y a fines</t>
  </si>
  <si>
    <t>2.6.5.7.01</t>
  </si>
  <si>
    <t>Máquinas-herramientas</t>
  </si>
  <si>
    <t>2.6.9.3.01</t>
  </si>
  <si>
    <t>Terrenos urbanos sin mejoras</t>
  </si>
  <si>
    <t>Pago de Bienes o Servicios</t>
  </si>
  <si>
    <t>En Proceso</t>
  </si>
  <si>
    <t>En Proceso de pago</t>
  </si>
  <si>
    <t>Nota</t>
  </si>
  <si>
    <t>Pago realizado a la abogada por la Demanda de Servidores Publicos</t>
  </si>
  <si>
    <t>Automóviles y camiones - Minivan</t>
  </si>
  <si>
    <t>Maquinaria y equipo de construcción - Retroexacavadora</t>
  </si>
  <si>
    <t>Sin Proveedor</t>
  </si>
  <si>
    <t>CORAAMOCA-DAF-CM-2026-0014</t>
  </si>
  <si>
    <t>CORAAMOCA-DAF-CM-2026-0022</t>
  </si>
  <si>
    <t>TECH PLUS OFFICES, S.R.L</t>
  </si>
  <si>
    <t>IMPROFICINAS, S.R.L</t>
  </si>
  <si>
    <t>FOREST LAXES, S.R.L</t>
  </si>
  <si>
    <t>CORAAMOCA-DAF-CM-2026-0018</t>
  </si>
  <si>
    <t>ACTUALIDADES VD, S.RL.</t>
  </si>
  <si>
    <t>TOTAL DE INVERSION</t>
  </si>
  <si>
    <t>TOTAL EJECUCION CONTRATADO</t>
  </si>
  <si>
    <t>SIN CODIGO SNIP</t>
  </si>
  <si>
    <t>MONTO POR CONTRATAR PUBLICADO</t>
  </si>
  <si>
    <t>REVISAR</t>
  </si>
  <si>
    <t>TOTAL CONTRATADO PUBLICADO</t>
  </si>
  <si>
    <t>ACTIVOS FIJOS</t>
  </si>
  <si>
    <t>SUPERVISION</t>
  </si>
  <si>
    <t>MONTO PUBLICADO SIN SNIP</t>
  </si>
  <si>
    <t>MONTO TOTAL RESTANTE DE LOS SNIP</t>
  </si>
  <si>
    <t>CODIGOS SNIP</t>
  </si>
  <si>
    <t>Ampliación de Redes</t>
  </si>
  <si>
    <t>Gaspar Hernandez</t>
  </si>
  <si>
    <t>Veragua</t>
  </si>
  <si>
    <t>Los Polanco</t>
  </si>
  <si>
    <t>Entrada Los Guaos</t>
  </si>
  <si>
    <t>Entrada La Yuca</t>
  </si>
  <si>
    <t>San Lorenzo</t>
  </si>
  <si>
    <t>Villa Magante</t>
  </si>
  <si>
    <t>Entrada La Gallera</t>
  </si>
  <si>
    <t>Entrada Playa Rogelio</t>
  </si>
  <si>
    <t>Construcción de un pozo tubular #1</t>
  </si>
  <si>
    <t>Construcción de un pozo tubular #2</t>
  </si>
  <si>
    <t>Campo de Pozos</t>
  </si>
  <si>
    <t>Cayetano Germosen</t>
  </si>
  <si>
    <t>La Gallera - Guanábano</t>
  </si>
  <si>
    <t>Villa Progreso</t>
  </si>
  <si>
    <t>Sabana De Los Jiménez</t>
  </si>
  <si>
    <t xml:space="preserve">Calle Del Rio </t>
  </si>
  <si>
    <t>La Penda</t>
  </si>
  <si>
    <t>Barrio nuevo La Guama</t>
  </si>
  <si>
    <t>Cruce de La Guama</t>
  </si>
  <si>
    <t>Urbanización La Guama  (entrada del Play)</t>
  </si>
  <si>
    <t>Entrada la Iglesia - Hato Viejo</t>
  </si>
  <si>
    <t>Barrio Marien - Guanábano</t>
  </si>
  <si>
    <t>TOTAL CUBICADO</t>
  </si>
  <si>
    <t>CONSTRUCTORA CAMILO PANTALEON (CCP), S.R.L</t>
  </si>
  <si>
    <t xml:space="preserve">Construcción de un pozo tubular </t>
  </si>
  <si>
    <t>Construcción de un pozo tubular</t>
  </si>
  <si>
    <t>Calle Del Rio</t>
  </si>
  <si>
    <t>Maguey</t>
  </si>
  <si>
    <t>INGENIERIA Y PERFORACIONES (INPER), S.R.L</t>
  </si>
  <si>
    <t>Ceiba de Madera (El Mango de Nena 1)</t>
  </si>
  <si>
    <t>Ceiba de Madera (El Mango de Nena 2)</t>
  </si>
  <si>
    <t>La Amapola - Entrada María Arroyo</t>
  </si>
  <si>
    <t>Entrada Arte de Jesús</t>
  </si>
  <si>
    <t>Entrada los  Chivos - San Víctor</t>
  </si>
  <si>
    <t>San Victor</t>
  </si>
  <si>
    <t>Entrada del  Club del los  Choferes</t>
  </si>
  <si>
    <t>Los Rieles Arriba</t>
  </si>
  <si>
    <t>B/La Lambada</t>
  </si>
  <si>
    <t>Centro Tecnológico</t>
  </si>
  <si>
    <t>Los Cocos Llenas</t>
  </si>
  <si>
    <t>Los Hernández - La Rosario</t>
  </si>
  <si>
    <t>Quebrada Honda - Lotificación Pilo Santana</t>
  </si>
  <si>
    <t xml:space="preserve">Quebrada Honda- Entrada de La Chicha </t>
  </si>
  <si>
    <t>Quebrada Honda -Entrada de la escuelita, C/Mora</t>
  </si>
  <si>
    <t>Villa Delia</t>
  </si>
  <si>
    <t>Entrada  Sixto García - La Soledad</t>
  </si>
  <si>
    <t>Cacique  Abajo- La Antena</t>
  </si>
  <si>
    <t>La Ermita B/Eduardo Brito</t>
  </si>
  <si>
    <t>El Corozo - Entrada Raulito</t>
  </si>
  <si>
    <t>El Jazmín - Cruce del Algarrobo</t>
  </si>
  <si>
    <t>Quebrada La Yagua - El Algarrobo</t>
  </si>
  <si>
    <t>Entrada de la Iglesia y los Cacos, B/Pulu- La Rosario</t>
  </si>
  <si>
    <t>Estancia Nueva - Los Reinoso</t>
  </si>
  <si>
    <t>El Fundo San Francisco abajo</t>
  </si>
  <si>
    <t>Quebrada Honda - Entrada de Willy</t>
  </si>
  <si>
    <t>La Ermita - Entrada Surtidora Santana</t>
  </si>
  <si>
    <t>Boca Férrea</t>
  </si>
  <si>
    <t>La Finca</t>
  </si>
  <si>
    <t>La Lomita</t>
  </si>
  <si>
    <t xml:space="preserve">Canta Rana </t>
  </si>
  <si>
    <t>Las Lagunas</t>
  </si>
  <si>
    <t>Boca Férrea - Entrada La Escuela</t>
  </si>
  <si>
    <t>Cruce La Lomita del Higüero (La Finca)</t>
  </si>
  <si>
    <t>La Finca - Entrada de la Escuela</t>
  </si>
  <si>
    <t>El aguacate</t>
  </si>
  <si>
    <t>Canca la Reina</t>
  </si>
  <si>
    <t>C/Josefa Rosario</t>
  </si>
  <si>
    <t>La Chicharra</t>
  </si>
  <si>
    <t>Juan Lopez</t>
  </si>
  <si>
    <t>Entrada Los Julines</t>
  </si>
  <si>
    <t>Entrada Centro Tecnológico</t>
  </si>
  <si>
    <t xml:space="preserve">Entrada  Los Pérez </t>
  </si>
  <si>
    <t>Los Camacho</t>
  </si>
  <si>
    <t>Monte La Jagua</t>
  </si>
  <si>
    <t>Entrada Don Juan</t>
  </si>
  <si>
    <t>Higuerito</t>
  </si>
  <si>
    <t>El Higuerito Arriba</t>
  </si>
  <si>
    <t>Jamao Al Norte</t>
  </si>
  <si>
    <t>Los Brazos</t>
  </si>
  <si>
    <t>Suministro e Instalación de Micro Medidores de Agua Potable en Residenciales e Industrias</t>
  </si>
  <si>
    <t>Avance de Obra</t>
  </si>
  <si>
    <t>Construcción de Centro de Servicio al Cliente</t>
  </si>
  <si>
    <t>CONSTRUCTORA CRUZ MUÑOZ</t>
  </si>
  <si>
    <t>B</t>
  </si>
  <si>
    <t>C</t>
  </si>
  <si>
    <t xml:space="preserve">Los Cocos </t>
  </si>
  <si>
    <t>Caño Dulce</t>
  </si>
  <si>
    <t>Entrada La Escuela</t>
  </si>
  <si>
    <t>Callejón de Sara</t>
  </si>
  <si>
    <t>La Españolita</t>
  </si>
  <si>
    <t>La Mina</t>
  </si>
  <si>
    <t>Campo de Pozos Veragua</t>
  </si>
  <si>
    <t xml:space="preserve">Entrada de Gen </t>
  </si>
  <si>
    <t>Villa Olímpica</t>
  </si>
  <si>
    <t>Villa Valentina</t>
  </si>
  <si>
    <t>Entrada el Correo</t>
  </si>
  <si>
    <t>Las Colinas La Antena</t>
  </si>
  <si>
    <t>Loma Al Medio (Entrada La Cigua)</t>
  </si>
  <si>
    <t>Entrada La Batata</t>
  </si>
  <si>
    <t xml:space="preserve">Pozo Las Colinas (La Antena) </t>
  </si>
  <si>
    <t>Entrada Malen</t>
  </si>
  <si>
    <t>Rincón de Genaro</t>
  </si>
  <si>
    <t>Pozo Tanque Entrada Los Mangos</t>
  </si>
  <si>
    <t>Vereda Al Medio</t>
  </si>
  <si>
    <t>BENESTAR CONSTRUCTORA, S.R.L</t>
  </si>
  <si>
    <t>CORAAMOCA-CCC-CP-2025-0002</t>
  </si>
  <si>
    <t>Adjudicado</t>
  </si>
  <si>
    <t>Año de realización de Proyecto</t>
  </si>
  <si>
    <t>CONSTRUCTORA GEODRIL S.R.L</t>
  </si>
  <si>
    <t>CORAAMOCA-DAF-CM-2026-0023</t>
  </si>
  <si>
    <t>Publicado</t>
  </si>
  <si>
    <t>Reconstrucción de Centro de Servicio y Construcción de Parqueos</t>
  </si>
  <si>
    <t>TOTAL PAGADO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</si>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</sst>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43" fontId="0" fillId="0" borderId="0" xfId="0" applyNumberFormat="1"/>
    <xf numFmtId="43" fontId="0" fillId="0" borderId="0" xfId="1" applyFont="1"/>
    <xf numFmtId="0" fontId="2" fillId="0" borderId="0" xfId="0" applyFont="1"/>
    <xf numFmtId="43" fontId="2" fillId="0" borderId="0" xfId="0" applyNumberFormat="1" applyFont="1"/>
    <xf numFmtId="43" fontId="0" fillId="0" borderId="1" xfId="1" applyFont="1" applyBorder="1"/>
    <xf numFmtId="43" fontId="6" fillId="0" borderId="0" xfId="1" applyFont="1"/>
    <xf numFmtId="0" fontId="0" fillId="0" borderId="1" xfId="0" applyBorder="1"/>
    <xf numFmtId="43" fontId="4" fillId="0" borderId="0" xfId="1" applyFont="1" applyBorder="1" applyAlignment="1">
      <alignment horizontal="center" vertical="center"/>
    </xf>
    <xf numFmtId="43" fontId="4" fillId="0" borderId="0" xfId="1" applyFont="1" applyBorder="1"/>
    <xf numFmtId="0" fontId="8" fillId="0" borderId="0" xfId="0" applyFont="1"/>
    <xf numFmtId="43" fontId="8" fillId="0" borderId="0" xfId="1" applyFont="1"/>
    <xf numFmtId="43" fontId="8" fillId="0" borderId="0" xfId="0" applyNumberFormat="1" applyFont="1"/>
    <xf numFmtId="0" fontId="9" fillId="0" borderId="0" xfId="0" applyFont="1"/>
    <xf numFmtId="0" fontId="9" fillId="3" borderId="0" xfId="0" applyFont="1" applyFill="1"/>
    <xf numFmtId="43" fontId="9" fillId="3" borderId="1" xfId="1" applyFont="1" applyFill="1" applyBorder="1"/>
    <xf numFmtId="43" fontId="9" fillId="0" borderId="0" xfId="0" applyNumberFormat="1" applyFont="1"/>
    <xf numFmtId="9" fontId="0" fillId="0" borderId="0" xfId="2" applyFont="1"/>
    <xf numFmtId="43" fontId="9" fillId="3" borderId="0" xfId="1" applyFont="1" applyFill="1" applyBorder="1"/>
    <xf numFmtId="9" fontId="8" fillId="0" borderId="0" xfId="2" applyFont="1"/>
    <xf numFmtId="43" fontId="8" fillId="0" borderId="1" xfId="1" applyFont="1" applyBorder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9" fontId="3" fillId="2" borderId="0" xfId="0" applyNumberFormat="1" applyFont="1" applyFill="1" applyAlignment="1">
      <alignment horizontal="center" vertical="center"/>
    </xf>
    <xf numFmtId="0" fontId="4" fillId="0" borderId="0" xfId="0" applyFont="1"/>
    <xf numFmtId="43" fontId="7" fillId="0" borderId="0" xfId="1" applyFont="1" applyBorder="1" applyAlignment="1">
      <alignment horizontal="right" vertical="top"/>
    </xf>
    <xf numFmtId="0" fontId="10" fillId="0" borderId="0" xfId="0" applyFont="1" applyAlignment="1">
      <alignment horizontal="left" vertical="center"/>
    </xf>
    <xf numFmtId="9" fontId="4" fillId="0" borderId="0" xfId="0" applyNumberFormat="1" applyFont="1"/>
    <xf numFmtId="43" fontId="4" fillId="0" borderId="0" xfId="1" applyFont="1"/>
  </cellXfs>
  <cellStyles count="3">
    <cellStyle name="Millares" xfId="1" builtinId="3"/>
    <cellStyle name="Normal" xfId="0" builtinId="0"/>
    <cellStyle name="Porcentaje" xfId="2" builtinId="5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40747-B36D-4C61-BFE5-11192C47AD58}" name="Tabla1" displayName="Tabla1" ref="A1:AF112" totalsRowShown="0" headerRowDxfId="33" dataDxfId="32">
  <autoFilter ref="A1:AF112" xr:uid="{5AD40747-B36D-4C61-BFE5-11192C47AD58}"/>
  <tableColumns count="32">
    <tableColumn id="1" xr3:uid="{9905513A-53DA-42C6-A010-F106CD0C8799}" name="Cuenta Presupuestaria" dataDxfId="31"/>
    <tableColumn id="2" xr3:uid="{BEBF83FC-26EB-4DCC-9C35-FC1D167C79C7}" name="Proceso de Compras" dataDxfId="30"/>
    <tableColumn id="3" xr3:uid="{4D778228-5D82-44C8-B817-F9C9C20518BE}" name="Año de realización de Proyecto" dataDxfId="29"/>
    <tableColumn id="4" xr3:uid="{CD0ECA32-9276-451C-8224-CFE29B3C749A}" name="Proveedor" dataDxfId="28"/>
    <tableColumn id="5" xr3:uid="{2F6A43A8-393C-4151-88AC-44B9FF940B37}" name="SNIP" dataDxfId="27"/>
    <tableColumn id="6" xr3:uid="{E599DD90-17C2-4AA5-BB66-4D051457B4E8}" name="LOTE" dataDxfId="26"/>
    <tableColumn id="7" xr3:uid="{E20189C3-3B1A-46E8-898F-A20AD0A7A3E6}" name="NO. LOTE" dataDxfId="25"/>
    <tableColumn id="8" xr3:uid="{F9F78CCC-9E58-4821-9B51-F057AEEA5BD0}" name="Obra" dataDxfId="24"/>
    <tableColumn id="9" xr3:uid="{0AD9F2BC-393B-4348-9FF8-60AB1548803B}" name="Municipio" dataDxfId="23"/>
    <tableColumn id="10" xr3:uid="{6635A054-6E88-46ED-A674-1E6C872A3690}" name="Distrito" dataDxfId="22"/>
    <tableColumn id="11" xr3:uid="{C4C5FE91-984C-4BB6-9372-943E8174C527}" name="Sector" dataDxfId="21"/>
    <tableColumn id="12" xr3:uid="{7A3AE383-3015-448E-BD21-B3014A9D2FD6}" name="Población (Hab)" dataDxfId="20"/>
    <tableColumn id="13" xr3:uid="{4BCCA6F8-662C-4A5A-8917-434732F9B1B8}" name="Monto Presupuesto RD$" dataDxfId="19" dataCellStyle="Millares"/>
    <tableColumn id="14" xr3:uid="{3B0693D9-41B6-483A-B35E-6EBF16F9D990}" name="Monto Adjudicado " dataDxfId="18" dataCellStyle="Millares"/>
    <tableColumn id="15" xr3:uid="{6E57283B-78D3-4794-8BFE-7D33E10918A1}" name="Diponibilidad presupuestado versus adjudicado " dataDxfId="17" dataCellStyle="Millares">
      <calculatedColumnFormula>M2-N2</calculatedColumnFormula>
    </tableColumn>
    <tableColumn id="16" xr3:uid="{EAEDB394-A18C-4B30-B69C-40C4EA91717B}" name="20%" dataDxfId="16" dataCellStyle="Millares"/>
    <tableColumn id="17" xr3:uid="{E1D7347A-E6FF-42F6-82B1-E1166C3A8058}" name="Pago de Bienes o Servicios" dataDxfId="15" dataCellStyle="Millares"/>
    <tableColumn id="18" xr3:uid="{F2E7128C-7DB2-4952-AB7D-F3AA52726A3D}" name="1era Cubicación " dataDxfId="14" dataCellStyle="Millares"/>
    <tableColumn id="19" xr3:uid="{E3C2D7E7-4D7C-43F7-A40B-9A2625047495}" name="2da Cubicación " dataDxfId="13" dataCellStyle="Millares"/>
    <tableColumn id="20" xr3:uid="{F1F53045-E812-428F-9952-6E73248B14FE}" name="3ra Cubicación " dataDxfId="12" dataCellStyle="Millares"/>
    <tableColumn id="21" xr3:uid="{537C1385-49A2-494A-BBB7-5AD3B58C02FB}" name="4ta Cubicación " dataDxfId="11" dataCellStyle="Millares"/>
    <tableColumn id="22" xr3:uid="{B09F3592-D297-4EF0-862D-C809353A66DC}" name="5ta Cubicación " dataDxfId="10" dataCellStyle="Millares"/>
    <tableColumn id="23" xr3:uid="{000810CF-7A95-43D1-85EE-999588A2D6C8}" name="6ta Cubicación " dataDxfId="9" dataCellStyle="Millares"/>
    <tableColumn id="24" xr3:uid="{495C7B9E-CD83-4FDE-93F0-CCC2EAF1546D}" name="7ma Cubicación " dataDxfId="8" dataCellStyle="Millares"/>
    <tableColumn id="25" xr3:uid="{4870F5CB-177D-415C-98CF-C679754AD633}" name="8va Cubicación " dataDxfId="7" dataCellStyle="Millares"/>
    <tableColumn id="26" xr3:uid="{CA12FE25-AB89-4E1F-AF0A-A138C45ECA81}" name="Total Cubicado" dataDxfId="6" dataCellStyle="Millares">
      <calculatedColumnFormula>SUM(R2:Y2)</calculatedColumnFormula>
    </tableColumn>
    <tableColumn id="27" xr3:uid="{F53415F8-32F6-471F-B8FE-0669DD1DADE8}" name="Total pagado" dataDxfId="5" dataCellStyle="Millares">
      <calculatedColumnFormula>Z2+P2+Q2</calculatedColumnFormula>
    </tableColumn>
    <tableColumn id="28" xr3:uid="{E1115C0D-D79A-4631-BC47-7C40D54DB53A}" name="Diponibilidad adjudicado" dataDxfId="4" dataCellStyle="Millares">
      <calculatedColumnFormula>N2-AA2</calculatedColumnFormula>
    </tableColumn>
    <tableColumn id="29" xr3:uid="{7EA9AE87-1F70-4823-81B0-27544C005943}" name="Disponibilidad Proyecto" dataDxfId="3" dataCellStyle="Millares">
      <calculatedColumnFormula>M2-AA2</calculatedColumnFormula>
    </tableColumn>
    <tableColumn id="30" xr3:uid="{ADBF85EF-FF52-401B-9BA7-0B95D2059BD2}" name="Estatus" dataDxfId="2"/>
    <tableColumn id="31" xr3:uid="{D8D9BEBC-1515-4044-97F3-54B9005E1E3B}" name="Avance de Obra" dataDxfId="1"/>
    <tableColumn id="32" xr3:uid="{6637EEB8-0CA9-493B-927D-CFA1FBDE1BCD}" name="Not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6BB4-0D6E-44EF-B31A-EE00EBB5A024}">
  <dimension ref="A1:AF136"/>
  <sheetViews>
    <sheetView tabSelected="1" workbookViewId="0">
      <pane xSplit="1" ySplit="1" topLeftCell="M96" activePane="bottomRight" state="frozen"/>
      <selection pane="topRight" activeCell="B1" sqref="B1"/>
      <selection pane="bottomLeft" activeCell="A2" sqref="A2"/>
      <selection pane="bottomRight" activeCell="Q111" sqref="Q111"/>
    </sheetView>
  </sheetViews>
  <sheetFormatPr baseColWidth="10" defaultRowHeight="15.6" x14ac:dyDescent="0.3"/>
  <cols>
    <col min="1" max="1" width="26.88671875" style="25" bestFit="1" customWidth="1"/>
    <col min="2" max="2" width="32.21875" style="25" bestFit="1" customWidth="1"/>
    <col min="3" max="3" width="34.6640625" style="25" bestFit="1" customWidth="1"/>
    <col min="4" max="4" width="47.44140625" style="25" bestFit="1" customWidth="1"/>
    <col min="5" max="5" width="9.6640625" style="25" bestFit="1" customWidth="1"/>
    <col min="6" max="6" width="10.109375" style="25" bestFit="1" customWidth="1"/>
    <col min="7" max="7" width="14.21875" style="25" bestFit="1" customWidth="1"/>
    <col min="8" max="8" width="87.33203125" style="25" bestFit="1" customWidth="1"/>
    <col min="9" max="9" width="20" style="25" bestFit="1" customWidth="1"/>
    <col min="10" max="10" width="15.44140625" style="25" bestFit="1" customWidth="1"/>
    <col min="11" max="11" width="49.33203125" style="25" bestFit="1" customWidth="1"/>
    <col min="12" max="12" width="20.33203125" style="25" bestFit="1" customWidth="1"/>
    <col min="13" max="13" width="28.5546875" style="25" bestFit="1" customWidth="1"/>
    <col min="14" max="14" width="23.5546875" style="25" bestFit="1" customWidth="1"/>
    <col min="15" max="15" width="51.33203125" style="25" bestFit="1" customWidth="1"/>
    <col min="16" max="16" width="14" style="25" bestFit="1" customWidth="1"/>
    <col min="17" max="17" width="30.109375" style="25" bestFit="1" customWidth="1"/>
    <col min="18" max="18" width="20.88671875" style="25" bestFit="1" customWidth="1"/>
    <col min="19" max="19" width="20.109375" style="25" bestFit="1" customWidth="1"/>
    <col min="20" max="23" width="19.6640625" style="25" bestFit="1" customWidth="1"/>
    <col min="24" max="24" width="20.77734375" style="25" bestFit="1" customWidth="1"/>
    <col min="25" max="25" width="19.88671875" style="25" bestFit="1" customWidth="1"/>
    <col min="26" max="26" width="19.44140625" style="25" bestFit="1" customWidth="1"/>
    <col min="27" max="27" width="17.6640625" style="25" bestFit="1" customWidth="1"/>
    <col min="28" max="28" width="29.21875" style="25" bestFit="1" customWidth="1"/>
    <col min="29" max="29" width="28" style="25" bestFit="1" customWidth="1"/>
    <col min="30" max="30" width="19.21875" style="25" bestFit="1" customWidth="1"/>
    <col min="31" max="31" width="20.21875" style="25" bestFit="1" customWidth="1"/>
    <col min="32" max="32" width="64.88671875" style="25" bestFit="1" customWidth="1"/>
    <col min="33" max="16384" width="11.5546875" style="25"/>
  </cols>
  <sheetData>
    <row r="1" spans="1:32" x14ac:dyDescent="0.3">
      <c r="A1" s="21" t="s">
        <v>30</v>
      </c>
      <c r="B1" s="21" t="s">
        <v>0</v>
      </c>
      <c r="C1" s="22" t="s">
        <v>190</v>
      </c>
      <c r="D1" s="21" t="s">
        <v>1</v>
      </c>
      <c r="E1" s="21" t="s">
        <v>2</v>
      </c>
      <c r="F1" s="21" t="s">
        <v>3</v>
      </c>
      <c r="G1" s="21" t="s">
        <v>4</v>
      </c>
      <c r="H1" s="23" t="s">
        <v>5</v>
      </c>
      <c r="I1" s="23" t="s">
        <v>6</v>
      </c>
      <c r="J1" s="23" t="s">
        <v>7</v>
      </c>
      <c r="K1" s="23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4" t="s">
        <v>196</v>
      </c>
      <c r="Q1" s="24" t="s">
        <v>55</v>
      </c>
      <c r="R1" s="21" t="s">
        <v>13</v>
      </c>
      <c r="S1" s="21" t="s">
        <v>14</v>
      </c>
      <c r="T1" s="21" t="s">
        <v>15</v>
      </c>
      <c r="U1" s="21" t="s">
        <v>16</v>
      </c>
      <c r="V1" s="21" t="s">
        <v>17</v>
      </c>
      <c r="W1" s="21" t="s">
        <v>18</v>
      </c>
      <c r="X1" s="21" t="s">
        <v>19</v>
      </c>
      <c r="Y1" s="21" t="s">
        <v>20</v>
      </c>
      <c r="Z1" s="21" t="s">
        <v>21</v>
      </c>
      <c r="AA1" s="21" t="s">
        <v>22</v>
      </c>
      <c r="AB1" s="21" t="s">
        <v>23</v>
      </c>
      <c r="AC1" s="21" t="s">
        <v>24</v>
      </c>
      <c r="AD1" s="21" t="s">
        <v>25</v>
      </c>
      <c r="AE1" s="21" t="s">
        <v>163</v>
      </c>
      <c r="AF1" s="21" t="s">
        <v>58</v>
      </c>
    </row>
    <row r="2" spans="1:32" x14ac:dyDescent="0.3">
      <c r="D2" s="25" t="s">
        <v>106</v>
      </c>
      <c r="E2" s="25">
        <v>16340</v>
      </c>
      <c r="H2" s="25" t="s">
        <v>81</v>
      </c>
      <c r="I2" s="25" t="s">
        <v>27</v>
      </c>
      <c r="K2" s="25" t="s">
        <v>122</v>
      </c>
      <c r="L2" s="25">
        <v>54</v>
      </c>
      <c r="M2" s="9">
        <v>544071.25</v>
      </c>
      <c r="N2" s="9">
        <v>422400.31</v>
      </c>
      <c r="O2" s="9">
        <f t="shared" ref="O2:O33" si="0">M2-N2</f>
        <v>121670.94</v>
      </c>
      <c r="P2" s="9">
        <v>84480.062000000005</v>
      </c>
      <c r="Q2" s="9"/>
      <c r="R2" s="9"/>
      <c r="S2" s="9"/>
      <c r="T2" s="9"/>
      <c r="U2" s="9"/>
      <c r="V2" s="9"/>
      <c r="W2" s="9"/>
      <c r="X2" s="9"/>
      <c r="Y2" s="9"/>
      <c r="Z2" s="9">
        <f t="shared" ref="Z2:Z33" si="1">SUM(R2:Y2)</f>
        <v>0</v>
      </c>
      <c r="AA2" s="9">
        <f t="shared" ref="AA2:AA33" si="2">Z2+P2+Q2</f>
        <v>84480.062000000005</v>
      </c>
      <c r="AB2" s="9">
        <f t="shared" ref="AB2:AB33" si="3">N2-AA2</f>
        <v>337920.24800000002</v>
      </c>
      <c r="AC2" s="9">
        <f t="shared" ref="AC2:AC33" si="4">M2-AA2</f>
        <v>459591.18799999997</v>
      </c>
    </row>
    <row r="3" spans="1:32" x14ac:dyDescent="0.3">
      <c r="D3" s="25" t="s">
        <v>106</v>
      </c>
      <c r="E3" s="25">
        <v>16340</v>
      </c>
      <c r="H3" s="25" t="s">
        <v>81</v>
      </c>
      <c r="I3" s="25" t="s">
        <v>27</v>
      </c>
      <c r="K3" s="25" t="s">
        <v>123</v>
      </c>
      <c r="L3" s="25">
        <v>78</v>
      </c>
      <c r="M3" s="9">
        <v>233463.41</v>
      </c>
      <c r="N3" s="9">
        <v>269102.55</v>
      </c>
      <c r="O3" s="9">
        <f t="shared" si="0"/>
        <v>-35639.139999999985</v>
      </c>
      <c r="P3" s="9">
        <v>53820.51</v>
      </c>
      <c r="Q3" s="9"/>
      <c r="R3" s="9"/>
      <c r="S3" s="9"/>
      <c r="T3" s="9"/>
      <c r="U3" s="9"/>
      <c r="V3" s="9"/>
      <c r="W3" s="9"/>
      <c r="X3" s="9"/>
      <c r="Y3" s="9"/>
      <c r="Z3" s="9">
        <f t="shared" si="1"/>
        <v>0</v>
      </c>
      <c r="AA3" s="9">
        <f t="shared" si="2"/>
        <v>53820.51</v>
      </c>
      <c r="AB3" s="9">
        <f t="shared" si="3"/>
        <v>215282.03999999998</v>
      </c>
      <c r="AC3" s="9">
        <f t="shared" si="4"/>
        <v>179642.9</v>
      </c>
    </row>
    <row r="4" spans="1:32" x14ac:dyDescent="0.3">
      <c r="D4" s="25" t="s">
        <v>106</v>
      </c>
      <c r="E4" s="25">
        <v>16340</v>
      </c>
      <c r="H4" s="25" t="s">
        <v>81</v>
      </c>
      <c r="I4" s="25" t="s">
        <v>27</v>
      </c>
      <c r="K4" s="25" t="s">
        <v>124</v>
      </c>
      <c r="L4" s="25">
        <v>66</v>
      </c>
      <c r="M4" s="9">
        <v>363390.87</v>
      </c>
      <c r="N4" s="9">
        <v>331387.64</v>
      </c>
      <c r="O4" s="9">
        <f t="shared" si="0"/>
        <v>32003.229999999981</v>
      </c>
      <c r="P4" s="9">
        <v>66277.528000000006</v>
      </c>
      <c r="Q4" s="9"/>
      <c r="R4" s="9"/>
      <c r="S4" s="9"/>
      <c r="T4" s="9"/>
      <c r="U4" s="9"/>
      <c r="V4" s="9"/>
      <c r="W4" s="9"/>
      <c r="X4" s="9"/>
      <c r="Y4" s="9"/>
      <c r="Z4" s="9">
        <f t="shared" si="1"/>
        <v>0</v>
      </c>
      <c r="AA4" s="9">
        <f t="shared" si="2"/>
        <v>66277.528000000006</v>
      </c>
      <c r="AB4" s="9">
        <f t="shared" si="3"/>
        <v>265110.11200000002</v>
      </c>
      <c r="AC4" s="9">
        <f t="shared" si="4"/>
        <v>297113.342</v>
      </c>
    </row>
    <row r="5" spans="1:32" x14ac:dyDescent="0.3">
      <c r="D5" s="25" t="s">
        <v>106</v>
      </c>
      <c r="E5" s="25">
        <v>16340</v>
      </c>
      <c r="H5" s="25" t="s">
        <v>81</v>
      </c>
      <c r="I5" s="25" t="s">
        <v>27</v>
      </c>
      <c r="K5" s="25" t="s">
        <v>125</v>
      </c>
      <c r="L5" s="25">
        <v>57</v>
      </c>
      <c r="M5" s="9">
        <v>308577.71999999997</v>
      </c>
      <c r="N5" s="9">
        <v>291918.65000000002</v>
      </c>
      <c r="O5" s="9">
        <f t="shared" si="0"/>
        <v>16659.069999999949</v>
      </c>
      <c r="P5" s="9">
        <v>58383.73000000001</v>
      </c>
      <c r="Q5" s="9"/>
      <c r="R5" s="9"/>
      <c r="S5" s="9"/>
      <c r="T5" s="9"/>
      <c r="U5" s="9"/>
      <c r="V5" s="9"/>
      <c r="W5" s="9"/>
      <c r="X5" s="9"/>
      <c r="Y5" s="9"/>
      <c r="Z5" s="9">
        <f t="shared" si="1"/>
        <v>0</v>
      </c>
      <c r="AA5" s="9">
        <f t="shared" si="2"/>
        <v>58383.73000000001</v>
      </c>
      <c r="AB5" s="9">
        <f t="shared" si="3"/>
        <v>233534.92</v>
      </c>
      <c r="AC5" s="9">
        <f t="shared" si="4"/>
        <v>250193.98999999996</v>
      </c>
    </row>
    <row r="6" spans="1:32" x14ac:dyDescent="0.3">
      <c r="D6" s="25" t="s">
        <v>106</v>
      </c>
      <c r="E6" s="25">
        <v>16340</v>
      </c>
      <c r="H6" s="25" t="s">
        <v>81</v>
      </c>
      <c r="I6" s="25" t="s">
        <v>27</v>
      </c>
      <c r="K6" s="25" t="s">
        <v>126</v>
      </c>
      <c r="L6" s="25">
        <v>48</v>
      </c>
      <c r="M6" s="9">
        <v>263915.15999999997</v>
      </c>
      <c r="N6" s="9">
        <v>258195.18</v>
      </c>
      <c r="O6" s="9">
        <f t="shared" si="0"/>
        <v>5719.9799999999814</v>
      </c>
      <c r="P6" s="9">
        <v>51639.036</v>
      </c>
      <c r="Q6" s="9"/>
      <c r="R6" s="9"/>
      <c r="S6" s="9"/>
      <c r="T6" s="9"/>
      <c r="U6" s="9"/>
      <c r="V6" s="9"/>
      <c r="W6" s="9"/>
      <c r="X6" s="9"/>
      <c r="Y6" s="9"/>
      <c r="Z6" s="9">
        <f t="shared" si="1"/>
        <v>0</v>
      </c>
      <c r="AA6" s="9">
        <f t="shared" si="2"/>
        <v>51639.036</v>
      </c>
      <c r="AB6" s="9">
        <f t="shared" si="3"/>
        <v>206556.144</v>
      </c>
      <c r="AC6" s="9">
        <f t="shared" si="4"/>
        <v>212276.12399999998</v>
      </c>
    </row>
    <row r="7" spans="1:32" x14ac:dyDescent="0.3">
      <c r="D7" s="25" t="s">
        <v>106</v>
      </c>
      <c r="E7" s="25">
        <v>16340</v>
      </c>
      <c r="H7" s="25" t="s">
        <v>81</v>
      </c>
      <c r="I7" s="25" t="s">
        <v>27</v>
      </c>
      <c r="K7" s="25" t="s">
        <v>127</v>
      </c>
      <c r="L7" s="25">
        <v>6</v>
      </c>
      <c r="M7" s="9">
        <v>162409.32999999999</v>
      </c>
      <c r="N7" s="9">
        <v>161338.49</v>
      </c>
      <c r="O7" s="9">
        <f t="shared" si="0"/>
        <v>1070.8399999999965</v>
      </c>
      <c r="P7" s="9">
        <v>32267.698</v>
      </c>
      <c r="Q7" s="9"/>
      <c r="R7" s="9"/>
      <c r="S7" s="9"/>
      <c r="T7" s="9"/>
      <c r="U7" s="9"/>
      <c r="V7" s="9"/>
      <c r="W7" s="9"/>
      <c r="X7" s="9"/>
      <c r="Y7" s="9"/>
      <c r="Z7" s="9">
        <f t="shared" si="1"/>
        <v>0</v>
      </c>
      <c r="AA7" s="9">
        <f t="shared" si="2"/>
        <v>32267.698</v>
      </c>
      <c r="AB7" s="9">
        <f t="shared" si="3"/>
        <v>129070.79199999999</v>
      </c>
      <c r="AC7" s="9">
        <f t="shared" si="4"/>
        <v>130141.63199999998</v>
      </c>
    </row>
    <row r="8" spans="1:32" x14ac:dyDescent="0.3">
      <c r="D8" s="25" t="s">
        <v>106</v>
      </c>
      <c r="E8" s="25">
        <v>16340</v>
      </c>
      <c r="H8" s="25" t="s">
        <v>81</v>
      </c>
      <c r="I8" s="25" t="s">
        <v>27</v>
      </c>
      <c r="K8" s="25" t="s">
        <v>128</v>
      </c>
      <c r="L8" s="25">
        <v>36</v>
      </c>
      <c r="M8" s="9">
        <v>535950.78</v>
      </c>
      <c r="N8" s="9">
        <v>400917.65</v>
      </c>
      <c r="O8" s="9">
        <f t="shared" si="0"/>
        <v>135033.13</v>
      </c>
      <c r="P8" s="9">
        <v>80183.530000000013</v>
      </c>
      <c r="Q8" s="9"/>
      <c r="R8" s="9"/>
      <c r="S8" s="9"/>
      <c r="T8" s="9"/>
      <c r="U8" s="9"/>
      <c r="V8" s="9"/>
      <c r="W8" s="9"/>
      <c r="X8" s="9"/>
      <c r="Y8" s="9"/>
      <c r="Z8" s="9">
        <f t="shared" si="1"/>
        <v>0</v>
      </c>
      <c r="AA8" s="9">
        <f t="shared" si="2"/>
        <v>80183.530000000013</v>
      </c>
      <c r="AB8" s="9">
        <f t="shared" si="3"/>
        <v>320734.12</v>
      </c>
      <c r="AC8" s="9">
        <f t="shared" si="4"/>
        <v>455767.25</v>
      </c>
    </row>
    <row r="9" spans="1:32" x14ac:dyDescent="0.3">
      <c r="D9" s="25" t="s">
        <v>106</v>
      </c>
      <c r="E9" s="25">
        <v>16340</v>
      </c>
      <c r="H9" s="25" t="s">
        <v>81</v>
      </c>
      <c r="I9" s="25" t="s">
        <v>27</v>
      </c>
      <c r="K9" s="25" t="s">
        <v>129</v>
      </c>
      <c r="L9" s="25">
        <v>48</v>
      </c>
      <c r="M9" s="9">
        <v>540011.02</v>
      </c>
      <c r="N9" s="9">
        <v>414473.32</v>
      </c>
      <c r="O9" s="9">
        <f t="shared" si="0"/>
        <v>125537.70000000001</v>
      </c>
      <c r="P9" s="9">
        <v>82894.664000000004</v>
      </c>
      <c r="Q9" s="9"/>
      <c r="R9" s="9"/>
      <c r="S9" s="9"/>
      <c r="T9" s="9"/>
      <c r="U9" s="9"/>
      <c r="V9" s="9"/>
      <c r="W9" s="9"/>
      <c r="X9" s="9"/>
      <c r="Y9" s="9"/>
      <c r="Z9" s="9">
        <f t="shared" si="1"/>
        <v>0</v>
      </c>
      <c r="AA9" s="9">
        <f t="shared" si="2"/>
        <v>82894.664000000004</v>
      </c>
      <c r="AB9" s="9">
        <f t="shared" si="3"/>
        <v>331578.65600000002</v>
      </c>
      <c r="AC9" s="9">
        <f t="shared" si="4"/>
        <v>457116.35600000003</v>
      </c>
    </row>
    <row r="10" spans="1:32" x14ac:dyDescent="0.3">
      <c r="D10" s="25" t="s">
        <v>106</v>
      </c>
      <c r="E10" s="25">
        <v>16340</v>
      </c>
      <c r="H10" s="25" t="s">
        <v>81</v>
      </c>
      <c r="I10" s="25" t="s">
        <v>27</v>
      </c>
      <c r="K10" s="25" t="s">
        <v>130</v>
      </c>
      <c r="L10" s="25">
        <v>123</v>
      </c>
      <c r="M10" s="9">
        <v>578583.23</v>
      </c>
      <c r="N10" s="9">
        <v>497311.45</v>
      </c>
      <c r="O10" s="9">
        <f t="shared" si="0"/>
        <v>81271.77999999997</v>
      </c>
      <c r="P10" s="9">
        <v>99462.290000000008</v>
      </c>
      <c r="Q10" s="9"/>
      <c r="R10" s="9"/>
      <c r="S10" s="9"/>
      <c r="T10" s="9"/>
      <c r="U10" s="9"/>
      <c r="V10" s="9"/>
      <c r="W10" s="9"/>
      <c r="X10" s="9"/>
      <c r="Y10" s="9"/>
      <c r="Z10" s="9">
        <f t="shared" si="1"/>
        <v>0</v>
      </c>
      <c r="AA10" s="9">
        <f t="shared" si="2"/>
        <v>99462.290000000008</v>
      </c>
      <c r="AB10" s="9">
        <f t="shared" si="3"/>
        <v>397849.16000000003</v>
      </c>
      <c r="AC10" s="9">
        <f t="shared" si="4"/>
        <v>479120.93999999994</v>
      </c>
    </row>
    <row r="11" spans="1:32" x14ac:dyDescent="0.3">
      <c r="D11" s="25" t="s">
        <v>106</v>
      </c>
      <c r="E11" s="25">
        <v>16340</v>
      </c>
      <c r="H11" s="25" t="s">
        <v>81</v>
      </c>
      <c r="I11" s="25" t="s">
        <v>27</v>
      </c>
      <c r="K11" s="25" t="s">
        <v>131</v>
      </c>
      <c r="L11" s="25">
        <v>120</v>
      </c>
      <c r="M11" s="9">
        <v>304517.49</v>
      </c>
      <c r="N11" s="9">
        <v>348722.69</v>
      </c>
      <c r="O11" s="9">
        <f t="shared" si="0"/>
        <v>-44205.200000000012</v>
      </c>
      <c r="P11" s="9">
        <v>69744.538</v>
      </c>
      <c r="Q11" s="9"/>
      <c r="R11" s="9"/>
      <c r="S11" s="9"/>
      <c r="T11" s="9"/>
      <c r="U11" s="9"/>
      <c r="V11" s="9"/>
      <c r="W11" s="9"/>
      <c r="X11" s="9"/>
      <c r="Y11" s="9"/>
      <c r="Z11" s="9">
        <f t="shared" si="1"/>
        <v>0</v>
      </c>
      <c r="AA11" s="9">
        <f t="shared" si="2"/>
        <v>69744.538</v>
      </c>
      <c r="AB11" s="9">
        <f t="shared" si="3"/>
        <v>278978.152</v>
      </c>
      <c r="AC11" s="9">
        <f t="shared" si="4"/>
        <v>234772.95199999999</v>
      </c>
    </row>
    <row r="12" spans="1:32" x14ac:dyDescent="0.3">
      <c r="D12" s="25" t="s">
        <v>106</v>
      </c>
      <c r="E12" s="25">
        <v>16340</v>
      </c>
      <c r="H12" s="25" t="s">
        <v>81</v>
      </c>
      <c r="I12" s="25" t="s">
        <v>27</v>
      </c>
      <c r="K12" s="25" t="s">
        <v>132</v>
      </c>
      <c r="L12" s="25">
        <v>45</v>
      </c>
      <c r="M12" s="9">
        <v>812046.64</v>
      </c>
      <c r="N12" s="9">
        <v>565638.86</v>
      </c>
      <c r="O12" s="9">
        <f t="shared" si="0"/>
        <v>246407.78000000003</v>
      </c>
      <c r="P12" s="9">
        <v>113127.772</v>
      </c>
      <c r="Q12" s="9"/>
      <c r="R12" s="9"/>
      <c r="S12" s="9"/>
      <c r="T12" s="9"/>
      <c r="U12" s="9"/>
      <c r="V12" s="9"/>
      <c r="W12" s="9"/>
      <c r="X12" s="9"/>
      <c r="Y12" s="9"/>
      <c r="Z12" s="9">
        <f t="shared" si="1"/>
        <v>0</v>
      </c>
      <c r="AA12" s="9">
        <f t="shared" si="2"/>
        <v>113127.772</v>
      </c>
      <c r="AB12" s="9">
        <f t="shared" si="3"/>
        <v>452511.08799999999</v>
      </c>
      <c r="AC12" s="9">
        <f t="shared" si="4"/>
        <v>698918.86800000002</v>
      </c>
    </row>
    <row r="13" spans="1:32" x14ac:dyDescent="0.3">
      <c r="D13" s="25" t="s">
        <v>106</v>
      </c>
      <c r="E13" s="25">
        <v>16340</v>
      </c>
      <c r="H13" s="25" t="s">
        <v>81</v>
      </c>
      <c r="I13" s="25" t="s">
        <v>27</v>
      </c>
      <c r="K13" s="25" t="s">
        <v>133</v>
      </c>
      <c r="L13" s="25">
        <v>30</v>
      </c>
      <c r="M13" s="9">
        <v>710540.81</v>
      </c>
      <c r="N13" s="9">
        <v>494111.7</v>
      </c>
      <c r="O13" s="9">
        <f t="shared" si="0"/>
        <v>216429.11000000004</v>
      </c>
      <c r="P13" s="9">
        <v>98822.340000000011</v>
      </c>
      <c r="Q13" s="9"/>
      <c r="R13" s="9"/>
      <c r="S13" s="9"/>
      <c r="T13" s="9"/>
      <c r="U13" s="9"/>
      <c r="V13" s="9"/>
      <c r="W13" s="9"/>
      <c r="X13" s="9"/>
      <c r="Y13" s="9"/>
      <c r="Z13" s="9">
        <f t="shared" si="1"/>
        <v>0</v>
      </c>
      <c r="AA13" s="9">
        <f t="shared" si="2"/>
        <v>98822.340000000011</v>
      </c>
      <c r="AB13" s="9">
        <f t="shared" si="3"/>
        <v>395289.36</v>
      </c>
      <c r="AC13" s="9">
        <f t="shared" si="4"/>
        <v>611718.47000000009</v>
      </c>
    </row>
    <row r="14" spans="1:32" x14ac:dyDescent="0.3">
      <c r="D14" s="25" t="s">
        <v>106</v>
      </c>
      <c r="E14" s="25">
        <v>16340</v>
      </c>
      <c r="H14" s="25" t="s">
        <v>81</v>
      </c>
      <c r="I14" s="25" t="s">
        <v>27</v>
      </c>
      <c r="K14" s="25" t="s">
        <v>134</v>
      </c>
      <c r="L14" s="25">
        <v>51</v>
      </c>
      <c r="M14" s="9">
        <v>531890.55000000005</v>
      </c>
      <c r="N14" s="9">
        <v>417265.42</v>
      </c>
      <c r="O14" s="9">
        <f t="shared" si="0"/>
        <v>114625.13000000006</v>
      </c>
      <c r="P14" s="9">
        <v>83453.084000000003</v>
      </c>
      <c r="Q14" s="9"/>
      <c r="R14" s="9"/>
      <c r="S14" s="9"/>
      <c r="T14" s="9"/>
      <c r="U14" s="9"/>
      <c r="V14" s="9"/>
      <c r="W14" s="9"/>
      <c r="X14" s="9"/>
      <c r="Y14" s="9"/>
      <c r="Z14" s="9">
        <f t="shared" si="1"/>
        <v>0</v>
      </c>
      <c r="AA14" s="9">
        <f t="shared" si="2"/>
        <v>83453.084000000003</v>
      </c>
      <c r="AB14" s="9">
        <f t="shared" si="3"/>
        <v>333812.33600000001</v>
      </c>
      <c r="AC14" s="9">
        <f t="shared" si="4"/>
        <v>448437.46600000001</v>
      </c>
    </row>
    <row r="15" spans="1:32" x14ac:dyDescent="0.3">
      <c r="D15" s="25" t="s">
        <v>106</v>
      </c>
      <c r="E15" s="25">
        <v>16340</v>
      </c>
      <c r="H15" s="25" t="s">
        <v>81</v>
      </c>
      <c r="I15" s="25" t="s">
        <v>27</v>
      </c>
      <c r="K15" s="25" t="s">
        <v>135</v>
      </c>
      <c r="L15" s="25">
        <v>147</v>
      </c>
      <c r="M15" s="9">
        <v>507529.15</v>
      </c>
      <c r="N15" s="9">
        <v>488962.61</v>
      </c>
      <c r="O15" s="9">
        <f t="shared" si="0"/>
        <v>18566.540000000037</v>
      </c>
      <c r="P15" s="9">
        <v>97792.521999999997</v>
      </c>
      <c r="Q15" s="9"/>
      <c r="R15" s="9"/>
      <c r="S15" s="9"/>
      <c r="T15" s="9"/>
      <c r="U15" s="9"/>
      <c r="V15" s="9"/>
      <c r="W15" s="9"/>
      <c r="X15" s="9"/>
      <c r="Y15" s="9"/>
      <c r="Z15" s="9">
        <f t="shared" si="1"/>
        <v>0</v>
      </c>
      <c r="AA15" s="9">
        <f t="shared" si="2"/>
        <v>97792.521999999997</v>
      </c>
      <c r="AB15" s="9">
        <f t="shared" si="3"/>
        <v>391170.08799999999</v>
      </c>
      <c r="AC15" s="9">
        <f t="shared" si="4"/>
        <v>409736.62800000003</v>
      </c>
    </row>
    <row r="16" spans="1:32" x14ac:dyDescent="0.3">
      <c r="D16" s="25" t="s">
        <v>106</v>
      </c>
      <c r="E16" s="25">
        <v>16340</v>
      </c>
      <c r="H16" s="25" t="s">
        <v>81</v>
      </c>
      <c r="I16" s="25" t="s">
        <v>27</v>
      </c>
      <c r="K16" s="25" t="s">
        <v>136</v>
      </c>
      <c r="L16" s="25">
        <v>42</v>
      </c>
      <c r="M16" s="9">
        <v>172559.91</v>
      </c>
      <c r="N16" s="9">
        <v>200850.72</v>
      </c>
      <c r="O16" s="9">
        <f t="shared" si="0"/>
        <v>-28290.809999999998</v>
      </c>
      <c r="P16" s="9">
        <v>40170.144</v>
      </c>
      <c r="Q16" s="9"/>
      <c r="R16" s="9"/>
      <c r="S16" s="9"/>
      <c r="T16" s="9"/>
      <c r="U16" s="9"/>
      <c r="V16" s="9"/>
      <c r="W16" s="9"/>
      <c r="X16" s="9"/>
      <c r="Y16" s="9"/>
      <c r="Z16" s="9">
        <f t="shared" si="1"/>
        <v>0</v>
      </c>
      <c r="AA16" s="9">
        <f t="shared" si="2"/>
        <v>40170.144</v>
      </c>
      <c r="AB16" s="9">
        <f t="shared" si="3"/>
        <v>160680.576</v>
      </c>
      <c r="AC16" s="9">
        <f t="shared" si="4"/>
        <v>132389.766</v>
      </c>
    </row>
    <row r="17" spans="4:29" x14ac:dyDescent="0.3">
      <c r="D17" s="25" t="s">
        <v>62</v>
      </c>
      <c r="E17" s="25">
        <v>16879</v>
      </c>
      <c r="H17" s="27" t="s">
        <v>81</v>
      </c>
      <c r="I17" s="25" t="s">
        <v>82</v>
      </c>
      <c r="J17" s="25" t="s">
        <v>83</v>
      </c>
      <c r="K17" s="25" t="s">
        <v>84</v>
      </c>
      <c r="L17" s="25">
        <v>315</v>
      </c>
      <c r="M17" s="9">
        <v>1322168.2679789499</v>
      </c>
      <c r="N17" s="9">
        <v>0</v>
      </c>
      <c r="O17" s="9">
        <f t="shared" si="0"/>
        <v>1322168.2679789499</v>
      </c>
      <c r="P17" s="9"/>
      <c r="Q17" s="26">
        <v>0</v>
      </c>
      <c r="R17" s="9"/>
      <c r="S17" s="9"/>
      <c r="T17" s="9"/>
      <c r="U17" s="9"/>
      <c r="V17" s="9"/>
      <c r="W17" s="9"/>
      <c r="X17" s="9"/>
      <c r="Y17" s="9"/>
      <c r="Z17" s="9">
        <f t="shared" si="1"/>
        <v>0</v>
      </c>
      <c r="AA17" s="9">
        <f t="shared" si="2"/>
        <v>0</v>
      </c>
      <c r="AB17" s="9">
        <f t="shared" si="3"/>
        <v>0</v>
      </c>
      <c r="AC17" s="9">
        <f t="shared" si="4"/>
        <v>1322168.2679789499</v>
      </c>
    </row>
    <row r="18" spans="4:29" x14ac:dyDescent="0.3">
      <c r="D18" s="25" t="s">
        <v>62</v>
      </c>
      <c r="E18" s="25">
        <v>16879</v>
      </c>
      <c r="H18" s="27" t="s">
        <v>81</v>
      </c>
      <c r="I18" s="25" t="s">
        <v>82</v>
      </c>
      <c r="J18" s="25" t="s">
        <v>83</v>
      </c>
      <c r="K18" s="25" t="s">
        <v>85</v>
      </c>
      <c r="L18" s="25">
        <v>200</v>
      </c>
      <c r="M18" s="9">
        <v>1369499.0316022099</v>
      </c>
      <c r="N18" s="9">
        <v>0</v>
      </c>
      <c r="O18" s="9">
        <f t="shared" si="0"/>
        <v>1369499.0316022099</v>
      </c>
      <c r="P18" s="9"/>
      <c r="Q18" s="26">
        <v>0</v>
      </c>
      <c r="R18" s="9"/>
      <c r="S18" s="9"/>
      <c r="T18" s="9"/>
      <c r="U18" s="9"/>
      <c r="V18" s="9"/>
      <c r="W18" s="9"/>
      <c r="X18" s="9"/>
      <c r="Y18" s="9"/>
      <c r="Z18" s="9">
        <f t="shared" si="1"/>
        <v>0</v>
      </c>
      <c r="AA18" s="9">
        <f t="shared" si="2"/>
        <v>0</v>
      </c>
      <c r="AB18" s="9">
        <f t="shared" si="3"/>
        <v>0</v>
      </c>
      <c r="AC18" s="9">
        <f t="shared" si="4"/>
        <v>1369499.0316022099</v>
      </c>
    </row>
    <row r="19" spans="4:29" x14ac:dyDescent="0.3">
      <c r="D19" s="25" t="s">
        <v>62</v>
      </c>
      <c r="E19" s="25">
        <v>16879</v>
      </c>
      <c r="H19" s="27" t="s">
        <v>81</v>
      </c>
      <c r="I19" s="25" t="s">
        <v>82</v>
      </c>
      <c r="J19" s="25" t="s">
        <v>83</v>
      </c>
      <c r="K19" s="25" t="s">
        <v>86</v>
      </c>
      <c r="L19" s="25">
        <v>225</v>
      </c>
      <c r="M19" s="9">
        <v>1283296.94</v>
      </c>
      <c r="N19" s="9">
        <v>0</v>
      </c>
      <c r="O19" s="9">
        <f t="shared" si="0"/>
        <v>1283296.94</v>
      </c>
      <c r="P19" s="9"/>
      <c r="Q19" s="26">
        <v>0</v>
      </c>
      <c r="R19" s="9"/>
      <c r="S19" s="9"/>
      <c r="T19" s="9"/>
      <c r="U19" s="9"/>
      <c r="V19" s="9"/>
      <c r="W19" s="9"/>
      <c r="X19" s="9"/>
      <c r="Y19" s="9"/>
      <c r="Z19" s="9">
        <f t="shared" si="1"/>
        <v>0</v>
      </c>
      <c r="AA19" s="9">
        <f t="shared" si="2"/>
        <v>0</v>
      </c>
      <c r="AB19" s="9">
        <f t="shared" si="3"/>
        <v>0</v>
      </c>
      <c r="AC19" s="9">
        <f t="shared" si="4"/>
        <v>1283296.94</v>
      </c>
    </row>
    <row r="20" spans="4:29" x14ac:dyDescent="0.3">
      <c r="D20" s="25" t="s">
        <v>62</v>
      </c>
      <c r="E20" s="25">
        <v>16879</v>
      </c>
      <c r="H20" s="27" t="s">
        <v>81</v>
      </c>
      <c r="I20" s="25" t="s">
        <v>82</v>
      </c>
      <c r="J20" s="25" t="s">
        <v>83</v>
      </c>
      <c r="K20" s="25" t="s">
        <v>87</v>
      </c>
      <c r="L20" s="25">
        <v>800</v>
      </c>
      <c r="M20" s="9">
        <v>3364579.1399999997</v>
      </c>
      <c r="N20" s="9">
        <v>0</v>
      </c>
      <c r="O20" s="9">
        <f t="shared" si="0"/>
        <v>3364579.1399999997</v>
      </c>
      <c r="P20" s="9"/>
      <c r="Q20" s="26">
        <v>0</v>
      </c>
      <c r="R20" s="9"/>
      <c r="S20" s="9"/>
      <c r="T20" s="9"/>
      <c r="U20" s="9"/>
      <c r="V20" s="9"/>
      <c r="W20" s="9"/>
      <c r="X20" s="9"/>
      <c r="Y20" s="9"/>
      <c r="Z20" s="9">
        <f t="shared" si="1"/>
        <v>0</v>
      </c>
      <c r="AA20" s="9">
        <f t="shared" si="2"/>
        <v>0</v>
      </c>
      <c r="AB20" s="9">
        <f t="shared" si="3"/>
        <v>0</v>
      </c>
      <c r="AC20" s="9">
        <f t="shared" si="4"/>
        <v>3364579.1399999997</v>
      </c>
    </row>
    <row r="21" spans="4:29" x14ac:dyDescent="0.3">
      <c r="D21" s="25" t="s">
        <v>62</v>
      </c>
      <c r="E21" s="25">
        <v>16879</v>
      </c>
      <c r="H21" s="27" t="s">
        <v>81</v>
      </c>
      <c r="I21" s="25" t="s">
        <v>82</v>
      </c>
      <c r="J21" s="25" t="s">
        <v>88</v>
      </c>
      <c r="K21" s="25" t="s">
        <v>89</v>
      </c>
      <c r="L21" s="25">
        <v>200</v>
      </c>
      <c r="M21" s="9">
        <v>1900495.7</v>
      </c>
      <c r="N21" s="9">
        <v>0</v>
      </c>
      <c r="O21" s="9">
        <f t="shared" si="0"/>
        <v>1900495.7</v>
      </c>
      <c r="P21" s="9"/>
      <c r="Q21" s="26">
        <v>0</v>
      </c>
      <c r="R21" s="9"/>
      <c r="S21" s="9"/>
      <c r="T21" s="9"/>
      <c r="U21" s="9"/>
      <c r="V21" s="9"/>
      <c r="W21" s="9"/>
      <c r="X21" s="9"/>
      <c r="Y21" s="9"/>
      <c r="Z21" s="9">
        <f t="shared" si="1"/>
        <v>0</v>
      </c>
      <c r="AA21" s="9">
        <f t="shared" si="2"/>
        <v>0</v>
      </c>
      <c r="AB21" s="9">
        <f t="shared" si="3"/>
        <v>0</v>
      </c>
      <c r="AC21" s="9">
        <f t="shared" si="4"/>
        <v>1900495.7</v>
      </c>
    </row>
    <row r="22" spans="4:29" x14ac:dyDescent="0.3">
      <c r="D22" s="25" t="s">
        <v>62</v>
      </c>
      <c r="E22" s="25">
        <v>16879</v>
      </c>
      <c r="H22" s="27" t="s">
        <v>81</v>
      </c>
      <c r="I22" s="25" t="s">
        <v>82</v>
      </c>
      <c r="J22" s="25" t="s">
        <v>88</v>
      </c>
      <c r="K22" s="25" t="s">
        <v>90</v>
      </c>
      <c r="L22" s="25">
        <v>400</v>
      </c>
      <c r="M22" s="9">
        <v>3038240.0599999996</v>
      </c>
      <c r="N22" s="9">
        <v>0</v>
      </c>
      <c r="O22" s="9">
        <f t="shared" si="0"/>
        <v>3038240.0599999996</v>
      </c>
      <c r="P22" s="9"/>
      <c r="Q22" s="26">
        <v>0</v>
      </c>
      <c r="R22" s="9"/>
      <c r="S22" s="9"/>
      <c r="T22" s="9"/>
      <c r="U22" s="9"/>
      <c r="V22" s="9"/>
      <c r="W22" s="9"/>
      <c r="X22" s="9"/>
      <c r="Y22" s="9"/>
      <c r="Z22" s="9">
        <f t="shared" si="1"/>
        <v>0</v>
      </c>
      <c r="AA22" s="9">
        <f t="shared" si="2"/>
        <v>0</v>
      </c>
      <c r="AB22" s="9">
        <f t="shared" si="3"/>
        <v>0</v>
      </c>
      <c r="AC22" s="9">
        <f t="shared" si="4"/>
        <v>3038240.0599999996</v>
      </c>
    </row>
    <row r="23" spans="4:29" x14ac:dyDescent="0.3">
      <c r="D23" s="25" t="s">
        <v>62</v>
      </c>
      <c r="E23" s="25">
        <v>16879</v>
      </c>
      <c r="H23" s="25" t="s">
        <v>91</v>
      </c>
      <c r="I23" s="25" t="s">
        <v>82</v>
      </c>
      <c r="K23" s="25" t="s">
        <v>93</v>
      </c>
      <c r="L23" s="25">
        <v>1000</v>
      </c>
      <c r="M23" s="9">
        <v>4561600.7837957228</v>
      </c>
      <c r="N23" s="9">
        <v>0</v>
      </c>
      <c r="O23" s="9">
        <f t="shared" si="0"/>
        <v>4561600.7837957228</v>
      </c>
      <c r="P23" s="9"/>
      <c r="Q23" s="26">
        <v>0</v>
      </c>
      <c r="R23" s="9"/>
      <c r="S23" s="9"/>
      <c r="T23" s="9"/>
      <c r="U23" s="9"/>
      <c r="V23" s="9"/>
      <c r="W23" s="9"/>
      <c r="X23" s="9"/>
      <c r="Y23" s="9"/>
      <c r="Z23" s="9">
        <f t="shared" si="1"/>
        <v>0</v>
      </c>
      <c r="AA23" s="9">
        <f t="shared" si="2"/>
        <v>0</v>
      </c>
      <c r="AB23" s="9">
        <f t="shared" si="3"/>
        <v>0</v>
      </c>
      <c r="AC23" s="9">
        <f t="shared" si="4"/>
        <v>4561600.7837957228</v>
      </c>
    </row>
    <row r="24" spans="4:29" x14ac:dyDescent="0.3">
      <c r="D24" s="25" t="s">
        <v>62</v>
      </c>
      <c r="E24" s="25">
        <v>16879</v>
      </c>
      <c r="H24" s="25" t="s">
        <v>92</v>
      </c>
      <c r="I24" s="25" t="s">
        <v>82</v>
      </c>
      <c r="K24" s="25" t="s">
        <v>93</v>
      </c>
      <c r="L24" s="25">
        <v>1000</v>
      </c>
      <c r="M24" s="9">
        <v>4561600.7837957228</v>
      </c>
      <c r="N24" s="9">
        <v>0</v>
      </c>
      <c r="O24" s="9">
        <f t="shared" si="0"/>
        <v>4561600.7837957228</v>
      </c>
      <c r="P24" s="9"/>
      <c r="Q24" s="26">
        <v>0</v>
      </c>
      <c r="R24" s="9"/>
      <c r="S24" s="9"/>
      <c r="T24" s="9"/>
      <c r="U24" s="9"/>
      <c r="V24" s="9"/>
      <c r="W24" s="9"/>
      <c r="X24" s="9"/>
      <c r="Y24" s="9"/>
      <c r="Z24" s="9">
        <f t="shared" si="1"/>
        <v>0</v>
      </c>
      <c r="AA24" s="9">
        <f t="shared" si="2"/>
        <v>0</v>
      </c>
      <c r="AB24" s="9">
        <f t="shared" si="3"/>
        <v>0</v>
      </c>
      <c r="AC24" s="9">
        <f t="shared" si="4"/>
        <v>4561600.7837957228</v>
      </c>
    </row>
    <row r="25" spans="4:29" x14ac:dyDescent="0.3">
      <c r="D25" s="25" t="s">
        <v>106</v>
      </c>
      <c r="E25" s="25">
        <v>16340</v>
      </c>
      <c r="H25" s="25" t="s">
        <v>81</v>
      </c>
      <c r="I25" s="25" t="s">
        <v>94</v>
      </c>
      <c r="K25" s="25" t="s">
        <v>95</v>
      </c>
      <c r="L25" s="25">
        <v>2010</v>
      </c>
      <c r="M25" s="9">
        <v>225612.52740823478</v>
      </c>
      <c r="N25" s="9">
        <v>231263.29</v>
      </c>
      <c r="O25" s="9">
        <f t="shared" si="0"/>
        <v>-5650.7625917652331</v>
      </c>
      <c r="P25" s="9">
        <v>46252.658000000003</v>
      </c>
      <c r="Q25" s="26">
        <v>0</v>
      </c>
      <c r="R25" s="9"/>
      <c r="S25" s="9"/>
      <c r="T25" s="9"/>
      <c r="U25" s="9"/>
      <c r="V25" s="9"/>
      <c r="W25" s="9"/>
      <c r="X25" s="9"/>
      <c r="Y25" s="9"/>
      <c r="Z25" s="9">
        <f t="shared" si="1"/>
        <v>0</v>
      </c>
      <c r="AA25" s="9">
        <f t="shared" si="2"/>
        <v>46252.658000000003</v>
      </c>
      <c r="AB25" s="9">
        <f t="shared" si="3"/>
        <v>185010.63200000001</v>
      </c>
      <c r="AC25" s="9">
        <f t="shared" si="4"/>
        <v>179359.86940823478</v>
      </c>
    </row>
    <row r="26" spans="4:29" x14ac:dyDescent="0.3">
      <c r="D26" s="25" t="s">
        <v>106</v>
      </c>
      <c r="E26" s="25">
        <v>16340</v>
      </c>
      <c r="H26" s="25" t="s">
        <v>81</v>
      </c>
      <c r="I26" s="25" t="s">
        <v>94</v>
      </c>
      <c r="K26" s="25" t="s">
        <v>96</v>
      </c>
      <c r="L26" s="25">
        <v>570</v>
      </c>
      <c r="M26" s="9">
        <v>4074815.4680292024</v>
      </c>
      <c r="N26" s="9">
        <v>4023612.21</v>
      </c>
      <c r="O26" s="9">
        <f t="shared" si="0"/>
        <v>51203.258029202465</v>
      </c>
      <c r="P26" s="9">
        <v>804722.44200000004</v>
      </c>
      <c r="Q26" s="26">
        <v>0</v>
      </c>
      <c r="R26" s="9"/>
      <c r="S26" s="9"/>
      <c r="T26" s="9"/>
      <c r="U26" s="9"/>
      <c r="V26" s="9"/>
      <c r="W26" s="9"/>
      <c r="X26" s="9"/>
      <c r="Y26" s="9"/>
      <c r="Z26" s="9">
        <f t="shared" si="1"/>
        <v>0</v>
      </c>
      <c r="AA26" s="9">
        <f t="shared" si="2"/>
        <v>804722.44200000004</v>
      </c>
      <c r="AB26" s="9">
        <f t="shared" si="3"/>
        <v>3218889.7680000002</v>
      </c>
      <c r="AC26" s="9">
        <f t="shared" si="4"/>
        <v>3270093.0260292022</v>
      </c>
    </row>
    <row r="27" spans="4:29" x14ac:dyDescent="0.3">
      <c r="D27" s="25" t="s">
        <v>106</v>
      </c>
      <c r="E27" s="25">
        <v>16340</v>
      </c>
      <c r="H27" s="25" t="s">
        <v>81</v>
      </c>
      <c r="I27" s="25" t="s">
        <v>94</v>
      </c>
      <c r="K27" s="25" t="s">
        <v>97</v>
      </c>
      <c r="L27" s="25">
        <v>36</v>
      </c>
      <c r="M27" s="9">
        <v>511793.93667326478</v>
      </c>
      <c r="N27" s="9">
        <v>523486.66</v>
      </c>
      <c r="O27" s="9">
        <f t="shared" si="0"/>
        <v>-11692.723326735198</v>
      </c>
      <c r="P27" s="9">
        <v>104697.33199999999</v>
      </c>
      <c r="Q27" s="26">
        <v>0</v>
      </c>
      <c r="R27" s="9"/>
      <c r="S27" s="9"/>
      <c r="T27" s="9"/>
      <c r="U27" s="9"/>
      <c r="V27" s="9"/>
      <c r="W27" s="9"/>
      <c r="X27" s="9"/>
      <c r="Y27" s="9"/>
      <c r="Z27" s="9">
        <f t="shared" si="1"/>
        <v>0</v>
      </c>
      <c r="AA27" s="9">
        <f t="shared" si="2"/>
        <v>104697.33199999999</v>
      </c>
      <c r="AB27" s="9">
        <f t="shared" si="3"/>
        <v>418789.32799999998</v>
      </c>
      <c r="AC27" s="9">
        <f t="shared" si="4"/>
        <v>407096.60467326478</v>
      </c>
    </row>
    <row r="28" spans="4:29" x14ac:dyDescent="0.3">
      <c r="D28" s="25" t="s">
        <v>106</v>
      </c>
      <c r="E28" s="25">
        <v>16340</v>
      </c>
      <c r="H28" s="25" t="s">
        <v>81</v>
      </c>
      <c r="I28" s="25" t="s">
        <v>94</v>
      </c>
      <c r="K28" s="25" t="s">
        <v>98</v>
      </c>
      <c r="L28" s="25">
        <v>141</v>
      </c>
      <c r="M28" s="9">
        <v>2438230.125270857</v>
      </c>
      <c r="N28" s="9">
        <v>2292599.09</v>
      </c>
      <c r="O28" s="9">
        <f t="shared" si="0"/>
        <v>145631.03527085716</v>
      </c>
      <c r="P28" s="9">
        <v>458519.81799999997</v>
      </c>
      <c r="Q28" s="26">
        <v>0</v>
      </c>
      <c r="R28" s="9"/>
      <c r="S28" s="9"/>
      <c r="T28" s="9"/>
      <c r="U28" s="9"/>
      <c r="V28" s="9"/>
      <c r="W28" s="9"/>
      <c r="X28" s="9"/>
      <c r="Y28" s="9"/>
      <c r="Z28" s="9">
        <f t="shared" si="1"/>
        <v>0</v>
      </c>
      <c r="AA28" s="9">
        <f t="shared" si="2"/>
        <v>458519.81799999997</v>
      </c>
      <c r="AB28" s="9">
        <f t="shared" si="3"/>
        <v>1834079.2719999999</v>
      </c>
      <c r="AC28" s="9">
        <f t="shared" si="4"/>
        <v>1979710.307270857</v>
      </c>
    </row>
    <row r="29" spans="4:29" x14ac:dyDescent="0.3">
      <c r="D29" s="25" t="s">
        <v>106</v>
      </c>
      <c r="E29" s="25">
        <v>16340</v>
      </c>
      <c r="H29" s="25" t="s">
        <v>81</v>
      </c>
      <c r="I29" s="25" t="s">
        <v>94</v>
      </c>
      <c r="K29" s="25" t="s">
        <v>99</v>
      </c>
      <c r="L29" s="25">
        <v>30</v>
      </c>
      <c r="M29" s="9">
        <v>388955.64060050389</v>
      </c>
      <c r="N29" s="9">
        <v>404519.67</v>
      </c>
      <c r="O29" s="9">
        <f t="shared" si="0"/>
        <v>-15564.029399496096</v>
      </c>
      <c r="P29" s="9">
        <v>80903.934000000008</v>
      </c>
      <c r="Q29" s="26">
        <v>0</v>
      </c>
      <c r="R29" s="9"/>
      <c r="S29" s="9"/>
      <c r="T29" s="9"/>
      <c r="U29" s="9"/>
      <c r="V29" s="9"/>
      <c r="W29" s="9"/>
      <c r="X29" s="9"/>
      <c r="Y29" s="9"/>
      <c r="Z29" s="9">
        <f t="shared" si="1"/>
        <v>0</v>
      </c>
      <c r="AA29" s="9">
        <f t="shared" si="2"/>
        <v>80903.934000000008</v>
      </c>
      <c r="AB29" s="9">
        <f t="shared" si="3"/>
        <v>323615.73599999998</v>
      </c>
      <c r="AC29" s="9">
        <f t="shared" si="4"/>
        <v>308051.70660050388</v>
      </c>
    </row>
    <row r="30" spans="4:29" x14ac:dyDescent="0.3">
      <c r="D30" s="25" t="s">
        <v>106</v>
      </c>
      <c r="E30" s="25">
        <v>16340</v>
      </c>
      <c r="H30" s="25" t="s">
        <v>81</v>
      </c>
      <c r="I30" s="25" t="s">
        <v>94</v>
      </c>
      <c r="K30" s="25" t="s">
        <v>100</v>
      </c>
      <c r="L30" s="25">
        <v>30</v>
      </c>
      <c r="M30" s="9">
        <v>342061.56774935964</v>
      </c>
      <c r="N30" s="9">
        <v>360198.56</v>
      </c>
      <c r="O30" s="9">
        <f t="shared" si="0"/>
        <v>-18136.992250640353</v>
      </c>
      <c r="P30" s="9">
        <v>72039.712</v>
      </c>
      <c r="Q30" s="26">
        <v>0</v>
      </c>
      <c r="R30" s="9"/>
      <c r="S30" s="9"/>
      <c r="T30" s="9"/>
      <c r="U30" s="9"/>
      <c r="V30" s="9"/>
      <c r="W30" s="9"/>
      <c r="X30" s="9"/>
      <c r="Y30" s="9"/>
      <c r="Z30" s="9">
        <f t="shared" si="1"/>
        <v>0</v>
      </c>
      <c r="AA30" s="9">
        <f t="shared" si="2"/>
        <v>72039.712</v>
      </c>
      <c r="AB30" s="9">
        <f t="shared" si="3"/>
        <v>288158.848</v>
      </c>
      <c r="AC30" s="9">
        <f t="shared" si="4"/>
        <v>270021.85574935965</v>
      </c>
    </row>
    <row r="31" spans="4:29" x14ac:dyDescent="0.3">
      <c r="D31" s="25" t="s">
        <v>106</v>
      </c>
      <c r="E31" s="25">
        <v>16340</v>
      </c>
      <c r="H31" s="25" t="s">
        <v>81</v>
      </c>
      <c r="I31" s="25" t="s">
        <v>94</v>
      </c>
      <c r="K31" s="25" t="s">
        <v>101</v>
      </c>
      <c r="L31" s="25">
        <v>45</v>
      </c>
      <c r="M31" s="9">
        <v>443175.57263818232</v>
      </c>
      <c r="N31" s="9">
        <v>453564.99</v>
      </c>
      <c r="O31" s="9">
        <f t="shared" si="0"/>
        <v>-10389.417361817672</v>
      </c>
      <c r="P31" s="9">
        <v>90712.998000000007</v>
      </c>
      <c r="Q31" s="26">
        <v>0</v>
      </c>
      <c r="R31" s="9"/>
      <c r="S31" s="9"/>
      <c r="T31" s="9"/>
      <c r="U31" s="9"/>
      <c r="V31" s="9"/>
      <c r="W31" s="9"/>
      <c r="X31" s="9"/>
      <c r="Y31" s="9"/>
      <c r="Z31" s="9">
        <f t="shared" si="1"/>
        <v>0</v>
      </c>
      <c r="AA31" s="9">
        <f t="shared" si="2"/>
        <v>90712.998000000007</v>
      </c>
      <c r="AB31" s="9">
        <f t="shared" si="3"/>
        <v>362851.99199999997</v>
      </c>
      <c r="AC31" s="9">
        <f t="shared" si="4"/>
        <v>352462.5746381823</v>
      </c>
    </row>
    <row r="32" spans="4:29" x14ac:dyDescent="0.3">
      <c r="D32" s="25" t="s">
        <v>106</v>
      </c>
      <c r="E32" s="25">
        <v>16340</v>
      </c>
      <c r="H32" s="25" t="s">
        <v>81</v>
      </c>
      <c r="I32" s="25" t="s">
        <v>94</v>
      </c>
      <c r="K32" s="25" t="s">
        <v>102</v>
      </c>
      <c r="L32" s="25">
        <v>60</v>
      </c>
      <c r="M32" s="9">
        <v>699425.0025822859</v>
      </c>
      <c r="N32" s="9">
        <v>717370.34</v>
      </c>
      <c r="O32" s="9">
        <f t="shared" si="0"/>
        <v>-17945.337417714065</v>
      </c>
      <c r="P32" s="9">
        <v>143474.068</v>
      </c>
      <c r="Q32" s="26">
        <v>0</v>
      </c>
      <c r="R32" s="9"/>
      <c r="S32" s="9"/>
      <c r="T32" s="9"/>
      <c r="U32" s="9"/>
      <c r="V32" s="9"/>
      <c r="W32" s="9"/>
      <c r="X32" s="9"/>
      <c r="Y32" s="9"/>
      <c r="Z32" s="9">
        <f t="shared" si="1"/>
        <v>0</v>
      </c>
      <c r="AA32" s="9">
        <f t="shared" si="2"/>
        <v>143474.068</v>
      </c>
      <c r="AB32" s="9">
        <f t="shared" si="3"/>
        <v>573896.272</v>
      </c>
      <c r="AC32" s="9">
        <f t="shared" si="4"/>
        <v>555950.93458228593</v>
      </c>
    </row>
    <row r="33" spans="4:29" x14ac:dyDescent="0.3">
      <c r="D33" s="25" t="s">
        <v>106</v>
      </c>
      <c r="E33" s="25">
        <v>16340</v>
      </c>
      <c r="H33" s="25" t="s">
        <v>81</v>
      </c>
      <c r="I33" s="25" t="s">
        <v>94</v>
      </c>
      <c r="K33" s="25" t="s">
        <v>103</v>
      </c>
      <c r="L33" s="25">
        <v>45</v>
      </c>
      <c r="M33" s="9">
        <v>167892.06160215902</v>
      </c>
      <c r="N33" s="9">
        <v>180968.24</v>
      </c>
      <c r="O33" s="9">
        <f t="shared" si="0"/>
        <v>-13076.178397840966</v>
      </c>
      <c r="P33" s="9">
        <v>36193.648000000001</v>
      </c>
      <c r="Q33" s="26">
        <v>0</v>
      </c>
      <c r="R33" s="9"/>
      <c r="S33" s="9"/>
      <c r="T33" s="9"/>
      <c r="U33" s="9"/>
      <c r="V33" s="9"/>
      <c r="W33" s="9"/>
      <c r="X33" s="9"/>
      <c r="Y33" s="9"/>
      <c r="Z33" s="9">
        <f t="shared" si="1"/>
        <v>0</v>
      </c>
      <c r="AA33" s="9">
        <f t="shared" si="2"/>
        <v>36193.648000000001</v>
      </c>
      <c r="AB33" s="9">
        <f t="shared" si="3"/>
        <v>144774.592</v>
      </c>
      <c r="AC33" s="9">
        <f t="shared" si="4"/>
        <v>131698.41360215901</v>
      </c>
    </row>
    <row r="34" spans="4:29" x14ac:dyDescent="0.3">
      <c r="D34" s="25" t="s">
        <v>106</v>
      </c>
      <c r="E34" s="25">
        <v>16340</v>
      </c>
      <c r="H34" s="25" t="s">
        <v>81</v>
      </c>
      <c r="I34" s="25" t="s">
        <v>94</v>
      </c>
      <c r="K34" s="25" t="s">
        <v>104</v>
      </c>
      <c r="L34" s="25">
        <v>147</v>
      </c>
      <c r="M34" s="9">
        <v>2478584.5621000337</v>
      </c>
      <c r="N34" s="9">
        <v>2414870.65</v>
      </c>
      <c r="O34" s="9">
        <f t="shared" ref="O34:O65" si="5">M34-N34</f>
        <v>63713.912100033835</v>
      </c>
      <c r="P34" s="9">
        <v>482974.13</v>
      </c>
      <c r="Q34" s="26">
        <v>0</v>
      </c>
      <c r="R34" s="9"/>
      <c r="S34" s="9"/>
      <c r="T34" s="9"/>
      <c r="U34" s="9"/>
      <c r="V34" s="9"/>
      <c r="W34" s="9"/>
      <c r="X34" s="9"/>
      <c r="Y34" s="9"/>
      <c r="Z34" s="9">
        <f t="shared" ref="Z34:Z65" si="6">SUM(R34:Y34)</f>
        <v>0</v>
      </c>
      <c r="AA34" s="9">
        <f t="shared" ref="AA34:AA65" si="7">Z34+P34+Q34</f>
        <v>482974.13</v>
      </c>
      <c r="AB34" s="9">
        <f t="shared" ref="AB34:AB65" si="8">N34-AA34</f>
        <v>1931896.52</v>
      </c>
      <c r="AC34" s="9">
        <f t="shared" ref="AC34:AC65" si="9">M34-AA34</f>
        <v>1995610.4321000339</v>
      </c>
    </row>
    <row r="35" spans="4:29" x14ac:dyDescent="0.3">
      <c r="D35" s="25" t="s">
        <v>111</v>
      </c>
      <c r="E35" s="25">
        <v>16879</v>
      </c>
      <c r="H35" s="25" t="s">
        <v>107</v>
      </c>
      <c r="I35" s="25" t="s">
        <v>94</v>
      </c>
      <c r="K35" s="25" t="s">
        <v>97</v>
      </c>
      <c r="L35" s="25">
        <v>36</v>
      </c>
      <c r="M35" s="9">
        <v>3419652.1987980008</v>
      </c>
      <c r="N35" s="9">
        <v>3077688.25</v>
      </c>
      <c r="O35" s="9">
        <f t="shared" si="5"/>
        <v>341963.94879800081</v>
      </c>
      <c r="P35" s="9">
        <v>615537.65</v>
      </c>
      <c r="Q35" s="26">
        <v>0</v>
      </c>
      <c r="R35" s="9"/>
      <c r="S35" s="9"/>
      <c r="T35" s="9"/>
      <c r="U35" s="9"/>
      <c r="V35" s="9"/>
      <c r="W35" s="9"/>
      <c r="X35" s="9"/>
      <c r="Y35" s="9"/>
      <c r="Z35" s="9">
        <f t="shared" si="6"/>
        <v>0</v>
      </c>
      <c r="AA35" s="9">
        <f t="shared" si="7"/>
        <v>615537.65</v>
      </c>
      <c r="AB35" s="9">
        <f t="shared" si="8"/>
        <v>2462150.6</v>
      </c>
      <c r="AC35" s="9">
        <f t="shared" si="9"/>
        <v>2804114.5487980009</v>
      </c>
    </row>
    <row r="36" spans="4:29" x14ac:dyDescent="0.3">
      <c r="D36" s="25" t="s">
        <v>111</v>
      </c>
      <c r="E36" s="25">
        <v>16879</v>
      </c>
      <c r="H36" s="25" t="s">
        <v>108</v>
      </c>
      <c r="I36" s="25" t="s">
        <v>94</v>
      </c>
      <c r="K36" s="25" t="s">
        <v>109</v>
      </c>
      <c r="L36" s="25">
        <v>390</v>
      </c>
      <c r="M36" s="9">
        <v>2977703.4487980008</v>
      </c>
      <c r="N36" s="9">
        <v>2800162.26</v>
      </c>
      <c r="O36" s="9">
        <f t="shared" si="5"/>
        <v>177541.18879800104</v>
      </c>
      <c r="P36" s="9">
        <v>560032.45199999993</v>
      </c>
      <c r="Q36" s="26">
        <v>0</v>
      </c>
      <c r="R36" s="9"/>
      <c r="S36" s="9"/>
      <c r="T36" s="9"/>
      <c r="U36" s="9"/>
      <c r="V36" s="9"/>
      <c r="W36" s="9"/>
      <c r="X36" s="9"/>
      <c r="Y36" s="9"/>
      <c r="Z36" s="9">
        <f t="shared" si="6"/>
        <v>0</v>
      </c>
      <c r="AA36" s="9">
        <f t="shared" si="7"/>
        <v>560032.45199999993</v>
      </c>
      <c r="AB36" s="9">
        <f t="shared" si="8"/>
        <v>2240129.8079999997</v>
      </c>
      <c r="AC36" s="9">
        <f t="shared" si="9"/>
        <v>2417670.9967980008</v>
      </c>
    </row>
    <row r="37" spans="4:29" x14ac:dyDescent="0.3">
      <c r="D37" s="25" t="s">
        <v>111</v>
      </c>
      <c r="E37" s="25">
        <v>16879</v>
      </c>
      <c r="H37" s="25" t="s">
        <v>108</v>
      </c>
      <c r="I37" s="25" t="s">
        <v>94</v>
      </c>
      <c r="K37" s="25" t="s">
        <v>99</v>
      </c>
      <c r="L37" s="25">
        <v>600</v>
      </c>
      <c r="M37" s="9">
        <v>2977703.4487980008</v>
      </c>
      <c r="N37" s="9">
        <v>2800162.26</v>
      </c>
      <c r="O37" s="9">
        <f t="shared" si="5"/>
        <v>177541.18879800104</v>
      </c>
      <c r="P37" s="9">
        <v>560032.45199999993</v>
      </c>
      <c r="Q37" s="26">
        <v>0</v>
      </c>
      <c r="R37" s="9"/>
      <c r="S37" s="9"/>
      <c r="T37" s="9"/>
      <c r="U37" s="9"/>
      <c r="V37" s="9"/>
      <c r="W37" s="9"/>
      <c r="X37" s="9"/>
      <c r="Y37" s="9"/>
      <c r="Z37" s="9">
        <f t="shared" si="6"/>
        <v>0</v>
      </c>
      <c r="AA37" s="9">
        <f t="shared" si="7"/>
        <v>560032.45199999993</v>
      </c>
      <c r="AB37" s="9">
        <f t="shared" si="8"/>
        <v>2240129.8079999997</v>
      </c>
      <c r="AC37" s="9">
        <f t="shared" si="9"/>
        <v>2417670.9967980008</v>
      </c>
    </row>
    <row r="38" spans="4:29" x14ac:dyDescent="0.3">
      <c r="D38" s="25" t="s">
        <v>111</v>
      </c>
      <c r="E38" s="25">
        <v>16879</v>
      </c>
      <c r="H38" s="25" t="s">
        <v>108</v>
      </c>
      <c r="I38" s="25" t="s">
        <v>94</v>
      </c>
      <c r="K38" s="25" t="s">
        <v>95</v>
      </c>
      <c r="L38" s="25">
        <v>2010</v>
      </c>
      <c r="M38" s="9">
        <v>2977703.4487980008</v>
      </c>
      <c r="N38" s="9">
        <v>2800162.26</v>
      </c>
      <c r="O38" s="9">
        <f t="shared" si="5"/>
        <v>177541.18879800104</v>
      </c>
      <c r="P38" s="9">
        <v>560032.45199999993</v>
      </c>
      <c r="Q38" s="26">
        <v>0</v>
      </c>
      <c r="R38" s="9"/>
      <c r="S38" s="9"/>
      <c r="T38" s="9"/>
      <c r="U38" s="9"/>
      <c r="V38" s="9"/>
      <c r="W38" s="9"/>
      <c r="X38" s="9"/>
      <c r="Y38" s="9"/>
      <c r="Z38" s="9">
        <f t="shared" si="6"/>
        <v>0</v>
      </c>
      <c r="AA38" s="9">
        <f t="shared" si="7"/>
        <v>560032.45199999993</v>
      </c>
      <c r="AB38" s="9">
        <f t="shared" si="8"/>
        <v>2240129.8079999997</v>
      </c>
      <c r="AC38" s="9">
        <f t="shared" si="9"/>
        <v>2417670.9967980008</v>
      </c>
    </row>
    <row r="39" spans="4:29" x14ac:dyDescent="0.3">
      <c r="D39" s="25" t="s">
        <v>111</v>
      </c>
      <c r="E39" s="25">
        <v>16879</v>
      </c>
      <c r="H39" s="25" t="s">
        <v>108</v>
      </c>
      <c r="I39" s="25" t="s">
        <v>94</v>
      </c>
      <c r="K39" s="25" t="s">
        <v>110</v>
      </c>
      <c r="L39" s="25">
        <v>315</v>
      </c>
      <c r="M39" s="9">
        <v>3148252.1987980008</v>
      </c>
      <c r="N39" s="9">
        <v>2898102.26</v>
      </c>
      <c r="O39" s="9">
        <f t="shared" si="5"/>
        <v>250149.93879800104</v>
      </c>
      <c r="P39" s="9">
        <v>579620.45199999993</v>
      </c>
      <c r="Q39" s="26">
        <v>0</v>
      </c>
      <c r="R39" s="9"/>
      <c r="S39" s="9"/>
      <c r="T39" s="9"/>
      <c r="U39" s="9"/>
      <c r="V39" s="9"/>
      <c r="W39" s="9"/>
      <c r="X39" s="9"/>
      <c r="Y39" s="9"/>
      <c r="Z39" s="9">
        <f t="shared" si="6"/>
        <v>0</v>
      </c>
      <c r="AA39" s="9">
        <f t="shared" si="7"/>
        <v>579620.45199999993</v>
      </c>
      <c r="AB39" s="9">
        <f t="shared" si="8"/>
        <v>2318481.8079999997</v>
      </c>
      <c r="AC39" s="9">
        <f t="shared" si="9"/>
        <v>2568631.7467980008</v>
      </c>
    </row>
    <row r="40" spans="4:29" x14ac:dyDescent="0.3">
      <c r="D40" s="25" t="s">
        <v>106</v>
      </c>
      <c r="E40" s="25">
        <v>16340</v>
      </c>
      <c r="H40" s="25" t="s">
        <v>81</v>
      </c>
      <c r="I40" s="25" t="s">
        <v>117</v>
      </c>
      <c r="K40" s="25" t="s">
        <v>112</v>
      </c>
      <c r="L40" s="25">
        <v>129</v>
      </c>
      <c r="M40" s="9">
        <v>957992.1913005003</v>
      </c>
      <c r="N40" s="9">
        <v>924528.92</v>
      </c>
      <c r="O40" s="9">
        <f t="shared" si="5"/>
        <v>33463.271300500259</v>
      </c>
      <c r="P40" s="9">
        <v>184905.78400000001</v>
      </c>
      <c r="Q40" s="9"/>
      <c r="R40" s="9"/>
      <c r="S40" s="9"/>
      <c r="T40" s="9"/>
      <c r="U40" s="9"/>
      <c r="V40" s="9"/>
      <c r="W40" s="9"/>
      <c r="X40" s="9"/>
      <c r="Y40" s="9"/>
      <c r="Z40" s="9">
        <f t="shared" si="6"/>
        <v>0</v>
      </c>
      <c r="AA40" s="9">
        <f t="shared" si="7"/>
        <v>184905.78400000001</v>
      </c>
      <c r="AB40" s="9">
        <f t="shared" si="8"/>
        <v>739623.13600000006</v>
      </c>
      <c r="AC40" s="9">
        <f t="shared" si="9"/>
        <v>773086.40730050032</v>
      </c>
    </row>
    <row r="41" spans="4:29" x14ac:dyDescent="0.3">
      <c r="D41" s="25" t="s">
        <v>106</v>
      </c>
      <c r="E41" s="25">
        <v>16340</v>
      </c>
      <c r="H41" s="25" t="s">
        <v>81</v>
      </c>
      <c r="I41" s="25" t="s">
        <v>117</v>
      </c>
      <c r="K41" s="25" t="s">
        <v>113</v>
      </c>
      <c r="L41" s="25">
        <v>105</v>
      </c>
      <c r="M41" s="9">
        <v>895601.91391050024</v>
      </c>
      <c r="N41" s="9">
        <v>849850.88</v>
      </c>
      <c r="O41" s="9">
        <f t="shared" si="5"/>
        <v>45751.033910500235</v>
      </c>
      <c r="P41" s="9">
        <v>169970.17600000001</v>
      </c>
      <c r="Q41" s="9"/>
      <c r="R41" s="9"/>
      <c r="S41" s="9"/>
      <c r="T41" s="9"/>
      <c r="U41" s="9"/>
      <c r="V41" s="9"/>
      <c r="W41" s="9"/>
      <c r="X41" s="9"/>
      <c r="Y41" s="9"/>
      <c r="Z41" s="9">
        <f t="shared" si="6"/>
        <v>0</v>
      </c>
      <c r="AA41" s="9">
        <f t="shared" si="7"/>
        <v>169970.17600000001</v>
      </c>
      <c r="AB41" s="9">
        <f t="shared" si="8"/>
        <v>679880.70400000003</v>
      </c>
      <c r="AC41" s="9">
        <f t="shared" si="9"/>
        <v>725631.73791050026</v>
      </c>
    </row>
    <row r="42" spans="4:29" x14ac:dyDescent="0.3">
      <c r="D42" s="25" t="s">
        <v>106</v>
      </c>
      <c r="E42" s="25">
        <v>16340</v>
      </c>
      <c r="H42" s="25" t="s">
        <v>81</v>
      </c>
      <c r="I42" s="25" t="s">
        <v>117</v>
      </c>
      <c r="K42" s="25" t="s">
        <v>114</v>
      </c>
      <c r="L42" s="25">
        <v>75</v>
      </c>
      <c r="M42" s="9">
        <v>668232.31271615904</v>
      </c>
      <c r="N42" s="9">
        <v>667632.81000000006</v>
      </c>
      <c r="O42" s="9">
        <f t="shared" si="5"/>
        <v>599.50271615898237</v>
      </c>
      <c r="P42" s="9">
        <v>133526.56200000001</v>
      </c>
      <c r="Q42" s="9"/>
      <c r="R42" s="9"/>
      <c r="S42" s="9"/>
      <c r="T42" s="9"/>
      <c r="U42" s="9"/>
      <c r="V42" s="9"/>
      <c r="W42" s="9"/>
      <c r="X42" s="9"/>
      <c r="Y42" s="9"/>
      <c r="Z42" s="9">
        <f t="shared" si="6"/>
        <v>0</v>
      </c>
      <c r="AA42" s="9">
        <f t="shared" si="7"/>
        <v>133526.56200000001</v>
      </c>
      <c r="AB42" s="9">
        <f t="shared" si="8"/>
        <v>534106.24800000002</v>
      </c>
      <c r="AC42" s="9">
        <f t="shared" si="9"/>
        <v>534705.750716159</v>
      </c>
    </row>
    <row r="43" spans="4:29" x14ac:dyDescent="0.3">
      <c r="D43" s="25" t="s">
        <v>106</v>
      </c>
      <c r="E43" s="25">
        <v>16340</v>
      </c>
      <c r="H43" s="25" t="s">
        <v>81</v>
      </c>
      <c r="I43" s="25" t="s">
        <v>117</v>
      </c>
      <c r="K43" s="25" t="s">
        <v>115</v>
      </c>
      <c r="L43" s="25">
        <v>45</v>
      </c>
      <c r="M43" s="9">
        <v>281073.73719675053</v>
      </c>
      <c r="N43" s="9">
        <v>287159.2</v>
      </c>
      <c r="O43" s="9">
        <f t="shared" si="5"/>
        <v>-6085.4628032494802</v>
      </c>
      <c r="P43" s="9">
        <v>57431.840000000004</v>
      </c>
      <c r="Q43" s="9"/>
      <c r="R43" s="9"/>
      <c r="S43" s="9"/>
      <c r="T43" s="9"/>
      <c r="U43" s="9"/>
      <c r="V43" s="9"/>
      <c r="W43" s="9"/>
      <c r="X43" s="9"/>
      <c r="Y43" s="9"/>
      <c r="Z43" s="9">
        <f t="shared" si="6"/>
        <v>0</v>
      </c>
      <c r="AA43" s="9">
        <f t="shared" si="7"/>
        <v>57431.840000000004</v>
      </c>
      <c r="AB43" s="9">
        <f t="shared" si="8"/>
        <v>229727.36000000002</v>
      </c>
      <c r="AC43" s="9">
        <f t="shared" si="9"/>
        <v>223641.89719675053</v>
      </c>
    </row>
    <row r="44" spans="4:29" x14ac:dyDescent="0.3">
      <c r="D44" s="25" t="s">
        <v>106</v>
      </c>
      <c r="E44" s="25">
        <v>16340</v>
      </c>
      <c r="H44" s="25" t="s">
        <v>81</v>
      </c>
      <c r="I44" s="25" t="s">
        <v>117</v>
      </c>
      <c r="K44" s="25" t="s">
        <v>118</v>
      </c>
      <c r="L44" s="25">
        <v>90</v>
      </c>
      <c r="M44" s="9">
        <v>850618.86</v>
      </c>
      <c r="N44" s="9">
        <v>629687.72</v>
      </c>
      <c r="O44" s="9">
        <f t="shared" si="5"/>
        <v>220931.14</v>
      </c>
      <c r="P44" s="9">
        <v>125937.54399999999</v>
      </c>
      <c r="Q44" s="9"/>
      <c r="R44" s="9"/>
      <c r="S44" s="9"/>
      <c r="T44" s="9"/>
      <c r="U44" s="9"/>
      <c r="V44" s="9"/>
      <c r="W44" s="9"/>
      <c r="X44" s="9"/>
      <c r="Y44" s="9"/>
      <c r="Z44" s="9">
        <f t="shared" si="6"/>
        <v>0</v>
      </c>
      <c r="AA44" s="9">
        <f t="shared" si="7"/>
        <v>125937.54399999999</v>
      </c>
      <c r="AB44" s="9">
        <f t="shared" si="8"/>
        <v>503750.17599999998</v>
      </c>
      <c r="AC44" s="9">
        <f t="shared" si="9"/>
        <v>724681.31599999999</v>
      </c>
    </row>
    <row r="45" spans="4:29" x14ac:dyDescent="0.3">
      <c r="D45" s="25" t="s">
        <v>106</v>
      </c>
      <c r="E45" s="25">
        <v>16340</v>
      </c>
      <c r="H45" s="25" t="s">
        <v>81</v>
      </c>
      <c r="I45" s="25" t="s">
        <v>117</v>
      </c>
      <c r="K45" s="25" t="s">
        <v>116</v>
      </c>
      <c r="L45" s="25">
        <v>84</v>
      </c>
      <c r="M45" s="9">
        <v>312637.96000000002</v>
      </c>
      <c r="N45" s="9">
        <v>319546.39</v>
      </c>
      <c r="O45" s="9">
        <f t="shared" si="5"/>
        <v>-6908.429999999993</v>
      </c>
      <c r="P45" s="9">
        <v>63909.278000000006</v>
      </c>
      <c r="Q45" s="9"/>
      <c r="R45" s="9"/>
      <c r="S45" s="9"/>
      <c r="T45" s="9"/>
      <c r="U45" s="9"/>
      <c r="V45" s="9"/>
      <c r="W45" s="9"/>
      <c r="X45" s="9"/>
      <c r="Y45" s="9"/>
      <c r="Z45" s="9">
        <f t="shared" si="6"/>
        <v>0</v>
      </c>
      <c r="AA45" s="9">
        <f t="shared" si="7"/>
        <v>63909.278000000006</v>
      </c>
      <c r="AB45" s="9">
        <f t="shared" si="8"/>
        <v>255637.11200000002</v>
      </c>
      <c r="AC45" s="9">
        <f t="shared" si="9"/>
        <v>248728.68200000003</v>
      </c>
    </row>
    <row r="46" spans="4:29" x14ac:dyDescent="0.3">
      <c r="D46" s="25" t="s">
        <v>111</v>
      </c>
      <c r="E46" s="25">
        <v>16879</v>
      </c>
      <c r="H46" s="25" t="s">
        <v>108</v>
      </c>
      <c r="I46" s="25" t="s">
        <v>117</v>
      </c>
      <c r="K46" s="25" t="s">
        <v>119</v>
      </c>
      <c r="L46" s="25">
        <v>144</v>
      </c>
      <c r="M46" s="9">
        <v>3446792.1987980008</v>
      </c>
      <c r="N46" s="9">
        <v>3102360.26</v>
      </c>
      <c r="O46" s="9">
        <f t="shared" si="5"/>
        <v>344431.93879800104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>
        <f t="shared" si="6"/>
        <v>0</v>
      </c>
      <c r="AA46" s="9">
        <f t="shared" si="7"/>
        <v>0</v>
      </c>
      <c r="AB46" s="9">
        <f t="shared" si="8"/>
        <v>3102360.26</v>
      </c>
      <c r="AC46" s="9">
        <f t="shared" si="9"/>
        <v>3446792.1987980008</v>
      </c>
    </row>
    <row r="47" spans="4:29" x14ac:dyDescent="0.3">
      <c r="D47" s="25" t="s">
        <v>111</v>
      </c>
      <c r="E47" s="25">
        <v>16879</v>
      </c>
      <c r="H47" s="25" t="s">
        <v>108</v>
      </c>
      <c r="I47" s="25" t="s">
        <v>117</v>
      </c>
      <c r="K47" s="25" t="s">
        <v>112</v>
      </c>
      <c r="L47" s="25">
        <v>129</v>
      </c>
      <c r="M47" s="9">
        <v>3134894.9754646677</v>
      </c>
      <c r="N47" s="9">
        <v>2970398.26</v>
      </c>
      <c r="O47" s="9">
        <f t="shared" si="5"/>
        <v>164496.71546466788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>
        <f t="shared" si="6"/>
        <v>0</v>
      </c>
      <c r="AA47" s="9">
        <f t="shared" si="7"/>
        <v>0</v>
      </c>
      <c r="AB47" s="9">
        <f t="shared" si="8"/>
        <v>2970398.26</v>
      </c>
      <c r="AC47" s="9">
        <f t="shared" si="9"/>
        <v>3134894.9754646677</v>
      </c>
    </row>
    <row r="48" spans="4:29" x14ac:dyDescent="0.3">
      <c r="D48" s="25" t="s">
        <v>111</v>
      </c>
      <c r="E48" s="25">
        <v>16879</v>
      </c>
      <c r="H48" s="25" t="s">
        <v>108</v>
      </c>
      <c r="I48" s="25" t="s">
        <v>117</v>
      </c>
      <c r="K48" s="25" t="s">
        <v>120</v>
      </c>
      <c r="L48" s="25">
        <v>135</v>
      </c>
      <c r="M48" s="9">
        <v>3134894.9754646677</v>
      </c>
      <c r="N48" s="9">
        <v>2970398.26</v>
      </c>
      <c r="O48" s="9">
        <f t="shared" si="5"/>
        <v>164496.71546466788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>
        <f t="shared" si="6"/>
        <v>0</v>
      </c>
      <c r="AA48" s="9">
        <f t="shared" si="7"/>
        <v>0</v>
      </c>
      <c r="AB48" s="9">
        <f t="shared" si="8"/>
        <v>2970398.26</v>
      </c>
      <c r="AC48" s="9">
        <f t="shared" si="9"/>
        <v>3134894.9754646677</v>
      </c>
    </row>
    <row r="49" spans="1:30" x14ac:dyDescent="0.3">
      <c r="D49" s="25" t="s">
        <v>111</v>
      </c>
      <c r="E49" s="25">
        <v>16879</v>
      </c>
      <c r="H49" s="25" t="s">
        <v>108</v>
      </c>
      <c r="I49" s="25" t="s">
        <v>117</v>
      </c>
      <c r="K49" s="25" t="s">
        <v>121</v>
      </c>
      <c r="L49" s="25">
        <v>150</v>
      </c>
      <c r="M49" s="9">
        <v>3134894.9754646677</v>
      </c>
      <c r="N49" s="9">
        <v>2970398.26</v>
      </c>
      <c r="O49" s="9">
        <f t="shared" si="5"/>
        <v>164496.71546466788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>
        <f t="shared" si="6"/>
        <v>0</v>
      </c>
      <c r="AA49" s="9">
        <f t="shared" si="7"/>
        <v>0</v>
      </c>
      <c r="AB49" s="9">
        <f t="shared" si="8"/>
        <v>2970398.26</v>
      </c>
      <c r="AC49" s="9">
        <f t="shared" si="9"/>
        <v>3134894.9754646677</v>
      </c>
    </row>
    <row r="50" spans="1:30" x14ac:dyDescent="0.3">
      <c r="D50" s="25" t="s">
        <v>106</v>
      </c>
      <c r="E50" s="25">
        <v>16340</v>
      </c>
      <c r="H50" s="25" t="s">
        <v>81</v>
      </c>
      <c r="I50" s="25" t="s">
        <v>27</v>
      </c>
      <c r="K50" s="25" t="s">
        <v>137</v>
      </c>
      <c r="L50" s="25">
        <v>72</v>
      </c>
      <c r="M50" s="9">
        <v>324818.65999999997</v>
      </c>
      <c r="N50" s="9">
        <v>315184.11</v>
      </c>
      <c r="O50" s="9">
        <f t="shared" si="5"/>
        <v>9634.5499999999884</v>
      </c>
      <c r="P50" s="9">
        <v>63036.822</v>
      </c>
      <c r="Q50" s="9"/>
      <c r="R50" s="9"/>
      <c r="S50" s="9"/>
      <c r="T50" s="9"/>
      <c r="U50" s="9"/>
      <c r="V50" s="9"/>
      <c r="W50" s="9"/>
      <c r="X50" s="9"/>
      <c r="Y50" s="9"/>
      <c r="Z50" s="9">
        <f t="shared" si="6"/>
        <v>0</v>
      </c>
      <c r="AA50" s="9">
        <f t="shared" si="7"/>
        <v>63036.822</v>
      </c>
      <c r="AB50" s="9">
        <f t="shared" si="8"/>
        <v>252147.288</v>
      </c>
      <c r="AC50" s="9">
        <f t="shared" si="9"/>
        <v>261781.83799999999</v>
      </c>
    </row>
    <row r="51" spans="1:30" x14ac:dyDescent="0.3">
      <c r="D51" s="25" t="s">
        <v>106</v>
      </c>
      <c r="E51" s="25">
        <v>16340</v>
      </c>
      <c r="H51" s="25" t="s">
        <v>81</v>
      </c>
      <c r="I51" s="25" t="s">
        <v>27</v>
      </c>
      <c r="K51" s="25" t="s">
        <v>138</v>
      </c>
      <c r="L51" s="25">
        <v>105</v>
      </c>
      <c r="M51" s="9">
        <v>629336.15</v>
      </c>
      <c r="N51" s="9">
        <v>518507.36</v>
      </c>
      <c r="O51" s="9">
        <f t="shared" si="5"/>
        <v>110828.79000000004</v>
      </c>
      <c r="P51" s="9">
        <v>103701.47200000001</v>
      </c>
      <c r="Q51" s="9"/>
      <c r="R51" s="9"/>
      <c r="S51" s="9"/>
      <c r="T51" s="9"/>
      <c r="U51" s="9"/>
      <c r="V51" s="9"/>
      <c r="W51" s="9"/>
      <c r="X51" s="9"/>
      <c r="Y51" s="9"/>
      <c r="Z51" s="9">
        <f t="shared" si="6"/>
        <v>0</v>
      </c>
      <c r="AA51" s="9">
        <f t="shared" si="7"/>
        <v>103701.47200000001</v>
      </c>
      <c r="AB51" s="9">
        <f t="shared" si="8"/>
        <v>414805.88799999998</v>
      </c>
      <c r="AC51" s="9">
        <f t="shared" si="9"/>
        <v>525634.67800000007</v>
      </c>
    </row>
    <row r="52" spans="1:30" x14ac:dyDescent="0.3">
      <c r="D52" s="25" t="s">
        <v>106</v>
      </c>
      <c r="E52" s="25">
        <v>16340</v>
      </c>
      <c r="H52" s="25" t="s">
        <v>81</v>
      </c>
      <c r="I52" s="25" t="s">
        <v>27</v>
      </c>
      <c r="J52" s="25" t="s">
        <v>143</v>
      </c>
      <c r="K52" s="25" t="s">
        <v>139</v>
      </c>
      <c r="L52" s="25">
        <v>45</v>
      </c>
      <c r="M52" s="9">
        <v>1627351.3515180494</v>
      </c>
      <c r="N52" s="9">
        <v>1497413.99</v>
      </c>
      <c r="O52" s="9">
        <f t="shared" si="5"/>
        <v>129937.36151804938</v>
      </c>
      <c r="P52" s="9">
        <v>299482.79800000001</v>
      </c>
      <c r="Q52" s="9"/>
      <c r="R52" s="9"/>
      <c r="S52" s="9"/>
      <c r="T52" s="9"/>
      <c r="U52" s="9"/>
      <c r="V52" s="9"/>
      <c r="W52" s="9"/>
      <c r="X52" s="9"/>
      <c r="Y52" s="9"/>
      <c r="Z52" s="9">
        <f t="shared" si="6"/>
        <v>0</v>
      </c>
      <c r="AA52" s="9">
        <f t="shared" si="7"/>
        <v>299482.79800000001</v>
      </c>
      <c r="AB52" s="9">
        <f t="shared" si="8"/>
        <v>1197931.192</v>
      </c>
      <c r="AC52" s="9">
        <f t="shared" si="9"/>
        <v>1327868.5535180494</v>
      </c>
    </row>
    <row r="53" spans="1:30" x14ac:dyDescent="0.3">
      <c r="D53" s="25" t="s">
        <v>106</v>
      </c>
      <c r="E53" s="25">
        <v>16340</v>
      </c>
      <c r="H53" s="25" t="s">
        <v>81</v>
      </c>
      <c r="I53" s="25" t="s">
        <v>27</v>
      </c>
      <c r="J53" s="25" t="s">
        <v>143</v>
      </c>
      <c r="K53" s="25" t="s">
        <v>140</v>
      </c>
      <c r="L53" s="25">
        <v>102</v>
      </c>
      <c r="M53" s="9">
        <v>1072948.3634031347</v>
      </c>
      <c r="N53" s="9">
        <v>1022677.26</v>
      </c>
      <c r="O53" s="9">
        <f t="shared" si="5"/>
        <v>50271.103403134737</v>
      </c>
      <c r="P53" s="9">
        <v>204535.45200000002</v>
      </c>
      <c r="Q53" s="9"/>
      <c r="R53" s="9"/>
      <c r="S53" s="9"/>
      <c r="T53" s="9"/>
      <c r="U53" s="9"/>
      <c r="V53" s="9"/>
      <c r="W53" s="9"/>
      <c r="X53" s="9"/>
      <c r="Y53" s="9"/>
      <c r="Z53" s="9">
        <f t="shared" si="6"/>
        <v>0</v>
      </c>
      <c r="AA53" s="9">
        <f t="shared" si="7"/>
        <v>204535.45200000002</v>
      </c>
      <c r="AB53" s="9">
        <f t="shared" si="8"/>
        <v>818141.80799999996</v>
      </c>
      <c r="AC53" s="9">
        <f t="shared" si="9"/>
        <v>868412.9114031347</v>
      </c>
    </row>
    <row r="54" spans="1:30" x14ac:dyDescent="0.3">
      <c r="D54" s="25" t="s">
        <v>106</v>
      </c>
      <c r="E54" s="25">
        <v>16340</v>
      </c>
      <c r="H54" s="25" t="s">
        <v>81</v>
      </c>
      <c r="I54" s="25" t="s">
        <v>27</v>
      </c>
      <c r="J54" s="25" t="s">
        <v>143</v>
      </c>
      <c r="K54" s="25" t="s">
        <v>141</v>
      </c>
      <c r="L54" s="25">
        <v>156</v>
      </c>
      <c r="M54" s="9">
        <v>1076598.1320566735</v>
      </c>
      <c r="N54" s="9">
        <v>1055057.5</v>
      </c>
      <c r="O54" s="9">
        <f t="shared" si="5"/>
        <v>21540.632056673523</v>
      </c>
      <c r="P54" s="9">
        <v>211011.5</v>
      </c>
      <c r="Q54" s="9"/>
      <c r="R54" s="9"/>
      <c r="S54" s="9"/>
      <c r="T54" s="9"/>
      <c r="U54" s="9"/>
      <c r="V54" s="9"/>
      <c r="W54" s="9"/>
      <c r="X54" s="9"/>
      <c r="Y54" s="9"/>
      <c r="Z54" s="9">
        <f t="shared" si="6"/>
        <v>0</v>
      </c>
      <c r="AA54" s="9">
        <f t="shared" si="7"/>
        <v>211011.5</v>
      </c>
      <c r="AB54" s="9">
        <f t="shared" si="8"/>
        <v>844046</v>
      </c>
      <c r="AC54" s="9">
        <f t="shared" si="9"/>
        <v>865586.63205667352</v>
      </c>
    </row>
    <row r="55" spans="1:30" x14ac:dyDescent="0.3">
      <c r="D55" s="25" t="s">
        <v>106</v>
      </c>
      <c r="E55" s="25">
        <v>16340</v>
      </c>
      <c r="H55" s="25" t="s">
        <v>81</v>
      </c>
      <c r="I55" s="25" t="s">
        <v>27</v>
      </c>
      <c r="J55" s="25" t="s">
        <v>143</v>
      </c>
      <c r="K55" s="25" t="s">
        <v>142</v>
      </c>
      <c r="L55" s="25">
        <v>72</v>
      </c>
      <c r="M55" s="9">
        <v>834714.98173539888</v>
      </c>
      <c r="N55" s="9">
        <v>855470.4</v>
      </c>
      <c r="O55" s="9">
        <f t="shared" si="5"/>
        <v>-20755.418264601147</v>
      </c>
      <c r="P55" s="9">
        <v>171094.08000000002</v>
      </c>
      <c r="Q55" s="9"/>
      <c r="R55" s="9"/>
      <c r="S55" s="9"/>
      <c r="T55" s="9"/>
      <c r="U55" s="9"/>
      <c r="V55" s="9"/>
      <c r="W55" s="9"/>
      <c r="X55" s="9"/>
      <c r="Y55" s="9"/>
      <c r="Z55" s="9">
        <f t="shared" si="6"/>
        <v>0</v>
      </c>
      <c r="AA55" s="9">
        <f t="shared" si="7"/>
        <v>171094.08000000002</v>
      </c>
      <c r="AB55" s="9">
        <f t="shared" si="8"/>
        <v>684376.32000000007</v>
      </c>
      <c r="AC55" s="9">
        <f t="shared" si="9"/>
        <v>663620.90173539892</v>
      </c>
    </row>
    <row r="56" spans="1:30" x14ac:dyDescent="0.3">
      <c r="D56" s="25" t="s">
        <v>106</v>
      </c>
      <c r="E56" s="25">
        <v>16340</v>
      </c>
      <c r="H56" s="25" t="s">
        <v>81</v>
      </c>
      <c r="I56" s="25" t="s">
        <v>27</v>
      </c>
      <c r="J56" s="25" t="s">
        <v>148</v>
      </c>
      <c r="K56" s="25" t="s">
        <v>147</v>
      </c>
      <c r="L56" s="25">
        <v>78</v>
      </c>
      <c r="M56" s="9">
        <v>477077.4</v>
      </c>
      <c r="N56" s="9">
        <v>406995.03</v>
      </c>
      <c r="O56" s="9">
        <f t="shared" si="5"/>
        <v>70082.37</v>
      </c>
      <c r="P56" s="9">
        <v>81399.006000000008</v>
      </c>
      <c r="Q56" s="9"/>
      <c r="R56" s="9"/>
      <c r="S56" s="9"/>
      <c r="T56" s="9"/>
      <c r="U56" s="9"/>
      <c r="V56" s="9"/>
      <c r="W56" s="9"/>
      <c r="X56" s="9"/>
      <c r="Y56" s="9"/>
      <c r="Z56" s="9">
        <f t="shared" si="6"/>
        <v>0</v>
      </c>
      <c r="AA56" s="9">
        <f t="shared" si="7"/>
        <v>81399.006000000008</v>
      </c>
      <c r="AB56" s="9">
        <f t="shared" si="8"/>
        <v>325596.02400000003</v>
      </c>
      <c r="AC56" s="9">
        <f t="shared" si="9"/>
        <v>395678.39400000003</v>
      </c>
    </row>
    <row r="57" spans="1:30" x14ac:dyDescent="0.3">
      <c r="D57" s="25" t="s">
        <v>106</v>
      </c>
      <c r="E57" s="25">
        <v>16340</v>
      </c>
      <c r="H57" s="25" t="s">
        <v>81</v>
      </c>
      <c r="I57" s="25" t="s">
        <v>27</v>
      </c>
      <c r="J57" s="25" t="s">
        <v>151</v>
      </c>
      <c r="K57" s="25" t="s">
        <v>152</v>
      </c>
      <c r="L57" s="25">
        <v>75</v>
      </c>
      <c r="M57" s="9">
        <v>203011.66</v>
      </c>
      <c r="N57" s="9">
        <v>249051.6</v>
      </c>
      <c r="O57" s="9">
        <f t="shared" si="5"/>
        <v>-46039.94</v>
      </c>
      <c r="P57" s="9">
        <v>49810.320000000007</v>
      </c>
      <c r="Q57" s="9"/>
      <c r="R57" s="9"/>
      <c r="S57" s="9"/>
      <c r="T57" s="9"/>
      <c r="U57" s="9"/>
      <c r="V57" s="9"/>
      <c r="W57" s="9"/>
      <c r="X57" s="9"/>
      <c r="Y57" s="9"/>
      <c r="Z57" s="9">
        <f t="shared" si="6"/>
        <v>0</v>
      </c>
      <c r="AA57" s="9">
        <f t="shared" si="7"/>
        <v>49810.320000000007</v>
      </c>
      <c r="AB57" s="9">
        <f t="shared" si="8"/>
        <v>199241.28</v>
      </c>
      <c r="AC57" s="9">
        <f t="shared" si="9"/>
        <v>153201.34</v>
      </c>
    </row>
    <row r="58" spans="1:30" x14ac:dyDescent="0.3">
      <c r="D58" s="25" t="s">
        <v>106</v>
      </c>
      <c r="E58" s="25">
        <v>16340</v>
      </c>
      <c r="H58" s="25" t="s">
        <v>81</v>
      </c>
      <c r="I58" s="25" t="s">
        <v>27</v>
      </c>
      <c r="J58" s="25" t="s">
        <v>151</v>
      </c>
      <c r="K58" s="25" t="s">
        <v>153</v>
      </c>
      <c r="L58" s="25">
        <v>48</v>
      </c>
      <c r="M58" s="9">
        <v>152258.75</v>
      </c>
      <c r="N58" s="9">
        <v>194994.46</v>
      </c>
      <c r="O58" s="9">
        <f t="shared" si="5"/>
        <v>-42735.709999999992</v>
      </c>
      <c r="P58" s="9">
        <v>38998.892</v>
      </c>
      <c r="Q58" s="9"/>
      <c r="R58" s="9"/>
      <c r="S58" s="9"/>
      <c r="T58" s="9"/>
      <c r="U58" s="9"/>
      <c r="V58" s="9"/>
      <c r="W58" s="9"/>
      <c r="X58" s="9"/>
      <c r="Y58" s="9"/>
      <c r="Z58" s="9">
        <f t="shared" si="6"/>
        <v>0</v>
      </c>
      <c r="AA58" s="9">
        <f t="shared" si="7"/>
        <v>38998.892</v>
      </c>
      <c r="AB58" s="9">
        <f t="shared" si="8"/>
        <v>155995.568</v>
      </c>
      <c r="AC58" s="9">
        <f t="shared" si="9"/>
        <v>113259.85800000001</v>
      </c>
    </row>
    <row r="59" spans="1:30" x14ac:dyDescent="0.3">
      <c r="D59" s="25" t="s">
        <v>106</v>
      </c>
      <c r="E59" s="25">
        <v>16340</v>
      </c>
      <c r="H59" s="25" t="s">
        <v>81</v>
      </c>
      <c r="I59" s="25" t="s">
        <v>27</v>
      </c>
      <c r="J59" s="25" t="s">
        <v>151</v>
      </c>
      <c r="K59" s="25" t="s">
        <v>154</v>
      </c>
      <c r="L59" s="25">
        <v>57</v>
      </c>
      <c r="M59" s="9">
        <v>314668.07</v>
      </c>
      <c r="N59" s="9">
        <v>295365.96000000002</v>
      </c>
      <c r="O59" s="9">
        <f t="shared" si="5"/>
        <v>19302.109999999986</v>
      </c>
      <c r="P59" s="9">
        <v>59073.19200000001</v>
      </c>
      <c r="Q59" s="9"/>
      <c r="R59" s="9"/>
      <c r="S59" s="9"/>
      <c r="T59" s="9"/>
      <c r="U59" s="9"/>
      <c r="V59" s="9"/>
      <c r="W59" s="9"/>
      <c r="X59" s="9"/>
      <c r="Y59" s="9"/>
      <c r="Z59" s="9">
        <f t="shared" si="6"/>
        <v>0</v>
      </c>
      <c r="AA59" s="9">
        <f t="shared" si="7"/>
        <v>59073.19200000001</v>
      </c>
      <c r="AB59" s="9">
        <f t="shared" si="8"/>
        <v>236292.76800000001</v>
      </c>
      <c r="AC59" s="9">
        <f t="shared" si="9"/>
        <v>255594.878</v>
      </c>
    </row>
    <row r="60" spans="1:30" x14ac:dyDescent="0.3">
      <c r="D60" s="25" t="s">
        <v>106</v>
      </c>
      <c r="E60" s="25">
        <v>16340</v>
      </c>
      <c r="H60" s="25" t="s">
        <v>81</v>
      </c>
      <c r="I60" s="25" t="s">
        <v>27</v>
      </c>
      <c r="J60" s="25" t="s">
        <v>156</v>
      </c>
      <c r="K60" s="25" t="s">
        <v>157</v>
      </c>
      <c r="L60" s="25">
        <v>108</v>
      </c>
      <c r="M60" s="9">
        <v>507529.15</v>
      </c>
      <c r="N60" s="9">
        <v>452375.51</v>
      </c>
      <c r="O60" s="9">
        <f t="shared" si="5"/>
        <v>55153.640000000014</v>
      </c>
      <c r="P60" s="9">
        <v>90475.102000000014</v>
      </c>
      <c r="Q60" s="9"/>
      <c r="R60" s="9"/>
      <c r="S60" s="9"/>
      <c r="T60" s="9"/>
      <c r="U60" s="9"/>
      <c r="V60" s="9"/>
      <c r="W60" s="9"/>
      <c r="X60" s="9"/>
      <c r="Y60" s="9"/>
      <c r="Z60" s="9">
        <f t="shared" si="6"/>
        <v>0</v>
      </c>
      <c r="AA60" s="9">
        <f t="shared" si="7"/>
        <v>90475.102000000014</v>
      </c>
      <c r="AB60" s="9">
        <f t="shared" si="8"/>
        <v>361900.408</v>
      </c>
      <c r="AC60" s="9">
        <f t="shared" si="9"/>
        <v>417054.04800000001</v>
      </c>
    </row>
    <row r="61" spans="1:30" x14ac:dyDescent="0.3">
      <c r="A61" s="25" t="s">
        <v>41</v>
      </c>
      <c r="D61" s="25" t="s">
        <v>62</v>
      </c>
      <c r="E61" s="25">
        <v>16844</v>
      </c>
      <c r="H61" s="25" t="s">
        <v>60</v>
      </c>
      <c r="I61" s="25" t="s">
        <v>27</v>
      </c>
      <c r="M61" s="26">
        <v>4960000</v>
      </c>
      <c r="N61" s="9">
        <v>0</v>
      </c>
      <c r="O61" s="9">
        <f t="shared" si="5"/>
        <v>4960000</v>
      </c>
      <c r="P61" s="9"/>
      <c r="Q61" s="26">
        <v>0</v>
      </c>
      <c r="R61" s="9"/>
      <c r="S61" s="9"/>
      <c r="T61" s="9"/>
      <c r="U61" s="9"/>
      <c r="V61" s="9"/>
      <c r="W61" s="9"/>
      <c r="X61" s="9"/>
      <c r="Y61" s="9"/>
      <c r="Z61" s="9">
        <f t="shared" si="6"/>
        <v>0</v>
      </c>
      <c r="AA61" s="9">
        <f t="shared" si="7"/>
        <v>0</v>
      </c>
      <c r="AB61" s="9">
        <f t="shared" si="8"/>
        <v>0</v>
      </c>
      <c r="AC61" s="9">
        <f t="shared" si="9"/>
        <v>4960000</v>
      </c>
      <c r="AD61" s="25" t="s">
        <v>56</v>
      </c>
    </row>
    <row r="62" spans="1:30" x14ac:dyDescent="0.3">
      <c r="D62" s="25" t="s">
        <v>165</v>
      </c>
      <c r="E62" s="25">
        <v>16844</v>
      </c>
      <c r="H62" s="25" t="s">
        <v>164</v>
      </c>
      <c r="I62" s="25" t="s">
        <v>27</v>
      </c>
      <c r="J62" s="25" t="s">
        <v>158</v>
      </c>
      <c r="L62" s="25">
        <v>11343</v>
      </c>
      <c r="M62" s="9">
        <v>7384540.5599999996</v>
      </c>
      <c r="N62" s="9">
        <v>5907633.6200000001</v>
      </c>
      <c r="O62" s="9">
        <f t="shared" si="5"/>
        <v>1476906.9399999995</v>
      </c>
      <c r="P62" s="9">
        <v>1181526.7240000002</v>
      </c>
      <c r="Q62" s="9"/>
      <c r="R62" s="9"/>
      <c r="S62" s="9"/>
      <c r="T62" s="9"/>
      <c r="U62" s="9"/>
      <c r="V62" s="9"/>
      <c r="W62" s="9"/>
      <c r="X62" s="9"/>
      <c r="Y62" s="9"/>
      <c r="Z62" s="9">
        <f t="shared" si="6"/>
        <v>0</v>
      </c>
      <c r="AA62" s="9">
        <f t="shared" si="7"/>
        <v>1181526.7240000002</v>
      </c>
      <c r="AB62" s="9">
        <f t="shared" si="8"/>
        <v>4726106.8959999997</v>
      </c>
      <c r="AC62" s="9">
        <f t="shared" si="9"/>
        <v>6203013.8359999992</v>
      </c>
    </row>
    <row r="63" spans="1:30" x14ac:dyDescent="0.3">
      <c r="D63" s="25" t="s">
        <v>165</v>
      </c>
      <c r="E63" s="25">
        <v>16844</v>
      </c>
      <c r="H63" s="25" t="s">
        <v>164</v>
      </c>
      <c r="I63" s="25" t="s">
        <v>27</v>
      </c>
      <c r="J63" s="25" t="s">
        <v>151</v>
      </c>
      <c r="L63" s="25">
        <v>7279</v>
      </c>
      <c r="M63" s="9">
        <v>9384540.5600000005</v>
      </c>
      <c r="N63" s="9">
        <v>6211830.6200000001</v>
      </c>
      <c r="O63" s="9">
        <f t="shared" si="5"/>
        <v>3172709.9400000004</v>
      </c>
      <c r="P63" s="9">
        <v>1502366.1240000001</v>
      </c>
      <c r="Q63" s="9"/>
      <c r="R63" s="9"/>
      <c r="S63" s="9"/>
      <c r="T63" s="9"/>
      <c r="U63" s="9"/>
      <c r="V63" s="9"/>
      <c r="W63" s="9"/>
      <c r="X63" s="9"/>
      <c r="Y63" s="9"/>
      <c r="Z63" s="9">
        <f t="shared" si="6"/>
        <v>0</v>
      </c>
      <c r="AA63" s="9">
        <f t="shared" si="7"/>
        <v>1502366.1240000001</v>
      </c>
      <c r="AB63" s="9">
        <f t="shared" si="8"/>
        <v>4709464.4960000003</v>
      </c>
      <c r="AC63" s="9">
        <f t="shared" si="9"/>
        <v>7882174.4360000007</v>
      </c>
    </row>
    <row r="64" spans="1:30" x14ac:dyDescent="0.3">
      <c r="D64" s="25" t="s">
        <v>111</v>
      </c>
      <c r="E64" s="25">
        <v>16879</v>
      </c>
      <c r="H64" s="25" t="s">
        <v>108</v>
      </c>
      <c r="I64" s="25" t="s">
        <v>27</v>
      </c>
      <c r="J64" s="25" t="s">
        <v>143</v>
      </c>
      <c r="K64" s="25" t="s">
        <v>144</v>
      </c>
      <c r="L64" s="25">
        <v>45</v>
      </c>
      <c r="M64" s="9">
        <v>2977703.4487980008</v>
      </c>
      <c r="N64" s="9">
        <v>2820458.25</v>
      </c>
      <c r="O64" s="9">
        <f t="shared" si="5"/>
        <v>157245.19879800081</v>
      </c>
      <c r="P64" s="9">
        <v>564091.65</v>
      </c>
      <c r="Q64" s="9"/>
      <c r="R64" s="9"/>
      <c r="S64" s="9"/>
      <c r="T64" s="9"/>
      <c r="U64" s="9"/>
      <c r="V64" s="9"/>
      <c r="W64" s="9"/>
      <c r="X64" s="9"/>
      <c r="Y64" s="9"/>
      <c r="Z64" s="9">
        <f t="shared" si="6"/>
        <v>0</v>
      </c>
      <c r="AA64" s="9">
        <f t="shared" si="7"/>
        <v>564091.65</v>
      </c>
      <c r="AB64" s="9">
        <f t="shared" si="8"/>
        <v>2256366.6</v>
      </c>
      <c r="AC64" s="9">
        <f t="shared" si="9"/>
        <v>2413611.7987980009</v>
      </c>
    </row>
    <row r="65" spans="1:30" x14ac:dyDescent="0.3">
      <c r="D65" s="25" t="s">
        <v>111</v>
      </c>
      <c r="E65" s="25">
        <v>16879</v>
      </c>
      <c r="H65" s="25" t="s">
        <v>108</v>
      </c>
      <c r="I65" s="25" t="s">
        <v>27</v>
      </c>
      <c r="J65" s="25" t="s">
        <v>143</v>
      </c>
      <c r="K65" s="25" t="s">
        <v>145</v>
      </c>
      <c r="L65" s="25">
        <v>102</v>
      </c>
      <c r="M65" s="9">
        <v>2977703.4487980008</v>
      </c>
      <c r="N65" s="9">
        <v>2860148.26</v>
      </c>
      <c r="O65" s="9">
        <f t="shared" si="5"/>
        <v>117555.18879800104</v>
      </c>
      <c r="P65" s="9">
        <v>572029.652</v>
      </c>
      <c r="Q65" s="9"/>
      <c r="R65" s="9"/>
      <c r="S65" s="9"/>
      <c r="T65" s="9"/>
      <c r="U65" s="9"/>
      <c r="V65" s="9"/>
      <c r="W65" s="9"/>
      <c r="X65" s="9"/>
      <c r="Y65" s="9"/>
      <c r="Z65" s="9">
        <f t="shared" si="6"/>
        <v>0</v>
      </c>
      <c r="AA65" s="9">
        <f t="shared" si="7"/>
        <v>572029.652</v>
      </c>
      <c r="AB65" s="9">
        <f t="shared" si="8"/>
        <v>2288118.608</v>
      </c>
      <c r="AC65" s="9">
        <f t="shared" si="9"/>
        <v>2405673.796798001</v>
      </c>
    </row>
    <row r="66" spans="1:30" x14ac:dyDescent="0.3">
      <c r="D66" s="25" t="s">
        <v>111</v>
      </c>
      <c r="E66" s="25">
        <v>16879</v>
      </c>
      <c r="H66" s="25" t="s">
        <v>108</v>
      </c>
      <c r="I66" s="25" t="s">
        <v>27</v>
      </c>
      <c r="J66" s="25" t="s">
        <v>143</v>
      </c>
      <c r="K66" s="25" t="s">
        <v>142</v>
      </c>
      <c r="L66" s="25">
        <v>72</v>
      </c>
      <c r="M66" s="9">
        <v>3256812.1987980008</v>
      </c>
      <c r="N66" s="9">
        <v>2980230.26</v>
      </c>
      <c r="O66" s="9">
        <f t="shared" ref="O66:O97" si="10">M66-N66</f>
        <v>276581.93879800104</v>
      </c>
      <c r="P66" s="9">
        <v>596046.05200000003</v>
      </c>
      <c r="Q66" s="9"/>
      <c r="R66" s="9"/>
      <c r="S66" s="9"/>
      <c r="T66" s="9"/>
      <c r="U66" s="9"/>
      <c r="V66" s="9"/>
      <c r="W66" s="9"/>
      <c r="X66" s="9"/>
      <c r="Y66" s="9"/>
      <c r="Z66" s="9">
        <f t="shared" ref="Z66:Z97" si="11">SUM(R66:Y66)</f>
        <v>0</v>
      </c>
      <c r="AA66" s="9">
        <f t="shared" ref="AA66:AA97" si="12">Z66+P66+Q66</f>
        <v>596046.05200000003</v>
      </c>
      <c r="AB66" s="9">
        <f t="shared" ref="AB66:AB97" si="13">N66-AA66</f>
        <v>2384184.2079999996</v>
      </c>
      <c r="AC66" s="9">
        <f t="shared" ref="AC66:AC89" si="14">M66-AA66</f>
        <v>2660766.1467980007</v>
      </c>
    </row>
    <row r="67" spans="1:30" x14ac:dyDescent="0.3">
      <c r="D67" s="25" t="s">
        <v>111</v>
      </c>
      <c r="E67" s="25">
        <v>16879</v>
      </c>
      <c r="H67" s="25" t="s">
        <v>108</v>
      </c>
      <c r="I67" s="25" t="s">
        <v>27</v>
      </c>
      <c r="J67" s="25" t="s">
        <v>143</v>
      </c>
      <c r="K67" s="25" t="s">
        <v>146</v>
      </c>
      <c r="L67" s="25">
        <v>180</v>
      </c>
      <c r="M67" s="9">
        <v>3446792.1987980008</v>
      </c>
      <c r="N67" s="9">
        <v>3102360.26</v>
      </c>
      <c r="O67" s="9">
        <f t="shared" si="10"/>
        <v>344431.93879800104</v>
      </c>
      <c r="P67" s="9">
        <v>620472.05200000003</v>
      </c>
      <c r="Q67" s="9"/>
      <c r="R67" s="9"/>
      <c r="S67" s="9"/>
      <c r="T67" s="9"/>
      <c r="U67" s="9"/>
      <c r="V67" s="9"/>
      <c r="W67" s="9"/>
      <c r="X67" s="9"/>
      <c r="Y67" s="9"/>
      <c r="Z67" s="9">
        <f t="shared" si="11"/>
        <v>0</v>
      </c>
      <c r="AA67" s="9">
        <f t="shared" si="12"/>
        <v>620472.05200000003</v>
      </c>
      <c r="AB67" s="9">
        <f t="shared" si="13"/>
        <v>2481888.2079999996</v>
      </c>
      <c r="AC67" s="9">
        <f t="shared" si="14"/>
        <v>2826320.1467980007</v>
      </c>
    </row>
    <row r="68" spans="1:30" x14ac:dyDescent="0.3">
      <c r="D68" s="25" t="s">
        <v>111</v>
      </c>
      <c r="E68" s="25">
        <v>16879</v>
      </c>
      <c r="H68" s="25" t="s">
        <v>108</v>
      </c>
      <c r="I68" s="25" t="s">
        <v>27</v>
      </c>
      <c r="J68" s="25" t="s">
        <v>143</v>
      </c>
      <c r="K68" s="25" t="s">
        <v>139</v>
      </c>
      <c r="L68" s="25">
        <v>150</v>
      </c>
      <c r="M68" s="9">
        <v>2977703.4487980008</v>
      </c>
      <c r="N68" s="9">
        <v>2820458.26</v>
      </c>
      <c r="O68" s="9">
        <f t="shared" si="10"/>
        <v>157245.18879800104</v>
      </c>
      <c r="P68" s="9">
        <v>564091.652</v>
      </c>
      <c r="Q68" s="9"/>
      <c r="R68" s="9"/>
      <c r="S68" s="9"/>
      <c r="T68" s="9"/>
      <c r="U68" s="9"/>
      <c r="V68" s="9"/>
      <c r="W68" s="9"/>
      <c r="X68" s="9"/>
      <c r="Y68" s="9"/>
      <c r="Z68" s="9">
        <f t="shared" si="11"/>
        <v>0</v>
      </c>
      <c r="AA68" s="9">
        <f t="shared" si="12"/>
        <v>564091.652</v>
      </c>
      <c r="AB68" s="9">
        <f t="shared" si="13"/>
        <v>2256366.608</v>
      </c>
      <c r="AC68" s="9">
        <f t="shared" si="14"/>
        <v>2413611.796798001</v>
      </c>
    </row>
    <row r="69" spans="1:30" x14ac:dyDescent="0.3">
      <c r="D69" s="25" t="s">
        <v>111</v>
      </c>
      <c r="E69" s="25">
        <v>16879</v>
      </c>
      <c r="H69" s="25" t="s">
        <v>108</v>
      </c>
      <c r="I69" s="25" t="s">
        <v>27</v>
      </c>
      <c r="J69" s="25" t="s">
        <v>148</v>
      </c>
      <c r="K69" s="25" t="s">
        <v>150</v>
      </c>
      <c r="L69" s="25">
        <v>450</v>
      </c>
      <c r="M69" s="9">
        <v>2977703.4487980008</v>
      </c>
      <c r="N69" s="9">
        <v>2756148.26</v>
      </c>
      <c r="O69" s="9">
        <f t="shared" si="10"/>
        <v>221555.18879800104</v>
      </c>
      <c r="P69" s="9">
        <v>551229.652</v>
      </c>
      <c r="Q69" s="9"/>
      <c r="R69" s="9"/>
      <c r="S69" s="9"/>
      <c r="T69" s="9"/>
      <c r="U69" s="9"/>
      <c r="V69" s="9"/>
      <c r="W69" s="9"/>
      <c r="X69" s="9"/>
      <c r="Y69" s="9"/>
      <c r="Z69" s="9">
        <f t="shared" si="11"/>
        <v>0</v>
      </c>
      <c r="AA69" s="9">
        <f t="shared" si="12"/>
        <v>551229.652</v>
      </c>
      <c r="AB69" s="9">
        <f t="shared" si="13"/>
        <v>2204918.608</v>
      </c>
      <c r="AC69" s="9">
        <f t="shared" si="14"/>
        <v>2426473.796798001</v>
      </c>
    </row>
    <row r="70" spans="1:30" x14ac:dyDescent="0.3">
      <c r="D70" s="25" t="s">
        <v>111</v>
      </c>
      <c r="E70" s="25">
        <v>16879</v>
      </c>
      <c r="H70" s="25" t="s">
        <v>108</v>
      </c>
      <c r="I70" s="25" t="s">
        <v>27</v>
      </c>
      <c r="J70" s="25" t="s">
        <v>151</v>
      </c>
      <c r="K70" s="25" t="s">
        <v>155</v>
      </c>
      <c r="L70" s="25">
        <v>600</v>
      </c>
      <c r="M70" s="9">
        <v>3446792.1987980008</v>
      </c>
      <c r="N70" s="9">
        <v>3102360.26</v>
      </c>
      <c r="O70" s="9">
        <f t="shared" si="10"/>
        <v>344431.93879800104</v>
      </c>
      <c r="P70" s="9">
        <v>620472.05200000003</v>
      </c>
      <c r="Q70" s="9"/>
      <c r="R70" s="9"/>
      <c r="S70" s="9"/>
      <c r="T70" s="9"/>
      <c r="U70" s="9"/>
      <c r="V70" s="9"/>
      <c r="W70" s="9"/>
      <c r="X70" s="9"/>
      <c r="Y70" s="9"/>
      <c r="Z70" s="9">
        <f t="shared" si="11"/>
        <v>0</v>
      </c>
      <c r="AA70" s="9">
        <f t="shared" si="12"/>
        <v>620472.05200000003</v>
      </c>
      <c r="AB70" s="9">
        <f t="shared" si="13"/>
        <v>2481888.2079999996</v>
      </c>
      <c r="AC70" s="9">
        <f t="shared" si="14"/>
        <v>2826320.1467980007</v>
      </c>
    </row>
    <row r="71" spans="1:30" x14ac:dyDescent="0.3">
      <c r="D71" s="25" t="s">
        <v>111</v>
      </c>
      <c r="E71" s="25">
        <v>16879</v>
      </c>
      <c r="H71" s="25" t="s">
        <v>108</v>
      </c>
      <c r="I71" s="25" t="s">
        <v>27</v>
      </c>
      <c r="J71" s="25" t="s">
        <v>158</v>
      </c>
      <c r="K71" s="25" t="s">
        <v>159</v>
      </c>
      <c r="L71" s="25">
        <v>600</v>
      </c>
      <c r="M71" s="9">
        <v>3446792.1987980008</v>
      </c>
      <c r="N71" s="9">
        <v>3102360.26</v>
      </c>
      <c r="O71" s="9">
        <f t="shared" si="10"/>
        <v>344431.93879800104</v>
      </c>
      <c r="P71" s="9">
        <v>620472.05200000003</v>
      </c>
      <c r="Q71" s="9"/>
      <c r="R71" s="9"/>
      <c r="S71" s="9"/>
      <c r="T71" s="9"/>
      <c r="U71" s="9"/>
      <c r="V71" s="9"/>
      <c r="W71" s="9"/>
      <c r="X71" s="9"/>
      <c r="Y71" s="9"/>
      <c r="Z71" s="9">
        <f t="shared" si="11"/>
        <v>0</v>
      </c>
      <c r="AA71" s="9">
        <f t="shared" si="12"/>
        <v>620472.05200000003</v>
      </c>
      <c r="AB71" s="9">
        <f t="shared" si="13"/>
        <v>2481888.2079999996</v>
      </c>
      <c r="AC71" s="9">
        <f t="shared" si="14"/>
        <v>2826320.1467980007</v>
      </c>
    </row>
    <row r="72" spans="1:30" x14ac:dyDescent="0.3">
      <c r="D72" s="25" t="s">
        <v>111</v>
      </c>
      <c r="E72" s="25">
        <v>16879</v>
      </c>
      <c r="H72" s="25" t="s">
        <v>108</v>
      </c>
      <c r="I72" s="25" t="s">
        <v>27</v>
      </c>
      <c r="J72" s="25" t="s">
        <v>160</v>
      </c>
      <c r="K72" s="25" t="s">
        <v>161</v>
      </c>
      <c r="L72" s="25">
        <v>600</v>
      </c>
      <c r="M72" s="9">
        <v>3419652.1987980008</v>
      </c>
      <c r="N72" s="9">
        <v>3077688.26</v>
      </c>
      <c r="O72" s="9">
        <f t="shared" si="10"/>
        <v>341963.93879800104</v>
      </c>
      <c r="P72" s="9">
        <v>615537.652</v>
      </c>
      <c r="Q72" s="9"/>
      <c r="R72" s="9"/>
      <c r="S72" s="9"/>
      <c r="T72" s="9"/>
      <c r="U72" s="9"/>
      <c r="V72" s="9"/>
      <c r="W72" s="9"/>
      <c r="X72" s="9"/>
      <c r="Y72" s="9"/>
      <c r="Z72" s="9">
        <f t="shared" si="11"/>
        <v>0</v>
      </c>
      <c r="AA72" s="9">
        <f t="shared" si="12"/>
        <v>615537.652</v>
      </c>
      <c r="AB72" s="9">
        <f t="shared" si="13"/>
        <v>2462150.608</v>
      </c>
      <c r="AC72" s="9">
        <f t="shared" si="14"/>
        <v>2804114.546798001</v>
      </c>
    </row>
    <row r="73" spans="1:30" x14ac:dyDescent="0.3">
      <c r="D73" s="25" t="s">
        <v>111</v>
      </c>
      <c r="E73" s="25">
        <v>16879</v>
      </c>
      <c r="H73" s="25" t="s">
        <v>107</v>
      </c>
      <c r="I73" s="25" t="s">
        <v>27</v>
      </c>
      <c r="J73" s="25" t="s">
        <v>148</v>
      </c>
      <c r="K73" s="25" t="s">
        <v>149</v>
      </c>
      <c r="L73" s="25">
        <v>450</v>
      </c>
      <c r="M73" s="9">
        <v>3066832.1987980008</v>
      </c>
      <c r="N73" s="9">
        <v>2826004.25</v>
      </c>
      <c r="O73" s="9">
        <f t="shared" si="10"/>
        <v>240827.94879800081</v>
      </c>
      <c r="P73" s="9">
        <v>565200.85</v>
      </c>
      <c r="Q73" s="9"/>
      <c r="R73" s="9"/>
      <c r="S73" s="9"/>
      <c r="T73" s="9"/>
      <c r="U73" s="9"/>
      <c r="V73" s="9"/>
      <c r="W73" s="9"/>
      <c r="X73" s="9"/>
      <c r="Y73" s="9"/>
      <c r="Z73" s="9">
        <f t="shared" si="11"/>
        <v>0</v>
      </c>
      <c r="AA73" s="9">
        <f t="shared" si="12"/>
        <v>565200.85</v>
      </c>
      <c r="AB73" s="9">
        <f t="shared" si="13"/>
        <v>2260803.4</v>
      </c>
      <c r="AC73" s="9">
        <f t="shared" si="14"/>
        <v>2501631.3487980007</v>
      </c>
    </row>
    <row r="74" spans="1:30" x14ac:dyDescent="0.3">
      <c r="A74" s="25" t="s">
        <v>49</v>
      </c>
      <c r="D74" s="25" t="s">
        <v>62</v>
      </c>
      <c r="E74" s="25">
        <v>16340</v>
      </c>
      <c r="H74" s="25" t="s">
        <v>50</v>
      </c>
      <c r="I74" s="25" t="s">
        <v>27</v>
      </c>
      <c r="M74" s="26">
        <v>68436.62</v>
      </c>
      <c r="N74" s="9">
        <v>0</v>
      </c>
      <c r="O74" s="9">
        <f t="shared" si="10"/>
        <v>68436.62</v>
      </c>
      <c r="P74" s="9"/>
      <c r="Q74" s="26">
        <v>0</v>
      </c>
      <c r="R74" s="9"/>
      <c r="S74" s="9"/>
      <c r="T74" s="9"/>
      <c r="U74" s="9"/>
      <c r="V74" s="9"/>
      <c r="W74" s="9"/>
      <c r="X74" s="9"/>
      <c r="Y74" s="9"/>
      <c r="Z74" s="9">
        <f t="shared" si="11"/>
        <v>0</v>
      </c>
      <c r="AA74" s="9">
        <f t="shared" si="12"/>
        <v>0</v>
      </c>
      <c r="AB74" s="9">
        <f t="shared" si="13"/>
        <v>0</v>
      </c>
      <c r="AC74" s="9">
        <f t="shared" si="14"/>
        <v>68436.62</v>
      </c>
      <c r="AD74" s="25" t="s">
        <v>56</v>
      </c>
    </row>
    <row r="75" spans="1:30" x14ac:dyDescent="0.3">
      <c r="A75" s="25" t="s">
        <v>47</v>
      </c>
      <c r="B75" s="25" t="s">
        <v>68</v>
      </c>
      <c r="D75" s="25" t="s">
        <v>69</v>
      </c>
      <c r="E75" s="25">
        <v>16340</v>
      </c>
      <c r="H75" s="25" t="s">
        <v>48</v>
      </c>
      <c r="I75" s="25" t="s">
        <v>27</v>
      </c>
      <c r="M75" s="26">
        <v>344000</v>
      </c>
      <c r="N75" s="9">
        <v>288746</v>
      </c>
      <c r="O75" s="9">
        <f t="shared" si="10"/>
        <v>55254</v>
      </c>
      <c r="P75" s="9"/>
      <c r="Q75" s="26">
        <v>288746</v>
      </c>
      <c r="R75" s="9"/>
      <c r="S75" s="9"/>
      <c r="T75" s="9"/>
      <c r="U75" s="9"/>
      <c r="V75" s="9"/>
      <c r="W75" s="9"/>
      <c r="X75" s="9"/>
      <c r="Y75" s="9"/>
      <c r="Z75" s="9">
        <f t="shared" si="11"/>
        <v>0</v>
      </c>
      <c r="AA75" s="9">
        <f t="shared" si="12"/>
        <v>288746</v>
      </c>
      <c r="AB75" s="9">
        <f t="shared" si="13"/>
        <v>0</v>
      </c>
      <c r="AC75" s="9">
        <f t="shared" si="14"/>
        <v>55254</v>
      </c>
      <c r="AD75" s="25" t="s">
        <v>57</v>
      </c>
    </row>
    <row r="76" spans="1:30" x14ac:dyDescent="0.3">
      <c r="A76" s="25" t="s">
        <v>39</v>
      </c>
      <c r="B76" s="25" t="s">
        <v>64</v>
      </c>
      <c r="D76" s="25" t="s">
        <v>65</v>
      </c>
      <c r="E76" s="25">
        <v>16340</v>
      </c>
      <c r="H76" s="25" t="s">
        <v>40</v>
      </c>
      <c r="I76" s="25" t="s">
        <v>27</v>
      </c>
      <c r="M76" s="26">
        <v>853900</v>
      </c>
      <c r="N76" s="9">
        <v>408703.07</v>
      </c>
      <c r="O76" s="9">
        <f t="shared" si="10"/>
        <v>445196.93</v>
      </c>
      <c r="P76" s="9"/>
      <c r="Q76" s="26">
        <v>0</v>
      </c>
      <c r="R76" s="9"/>
      <c r="S76" s="9"/>
      <c r="T76" s="9"/>
      <c r="U76" s="9"/>
      <c r="V76" s="9"/>
      <c r="W76" s="9"/>
      <c r="X76" s="9"/>
      <c r="Y76" s="9"/>
      <c r="Z76" s="9">
        <f t="shared" si="11"/>
        <v>0</v>
      </c>
      <c r="AA76" s="9">
        <f t="shared" si="12"/>
        <v>0</v>
      </c>
      <c r="AB76" s="9">
        <f t="shared" si="13"/>
        <v>408703.07</v>
      </c>
      <c r="AC76" s="9">
        <f t="shared" si="14"/>
        <v>853900</v>
      </c>
      <c r="AD76" s="25" t="s">
        <v>57</v>
      </c>
    </row>
    <row r="77" spans="1:30" x14ac:dyDescent="0.3">
      <c r="A77" s="25" t="s">
        <v>42</v>
      </c>
      <c r="D77" s="25" t="s">
        <v>62</v>
      </c>
      <c r="E77" s="25">
        <v>16340</v>
      </c>
      <c r="H77" s="25" t="s">
        <v>43</v>
      </c>
      <c r="I77" s="25" t="s">
        <v>27</v>
      </c>
      <c r="M77" s="26">
        <v>46802.720000000001</v>
      </c>
      <c r="N77" s="9">
        <v>0</v>
      </c>
      <c r="O77" s="9">
        <f t="shared" si="10"/>
        <v>46802.720000000001</v>
      </c>
      <c r="P77" s="9"/>
      <c r="Q77" s="26">
        <v>0</v>
      </c>
      <c r="R77" s="9"/>
      <c r="S77" s="9"/>
      <c r="T77" s="9"/>
      <c r="U77" s="9"/>
      <c r="V77" s="9"/>
      <c r="W77" s="9"/>
      <c r="X77" s="9"/>
      <c r="Y77" s="9"/>
      <c r="Z77" s="9">
        <f t="shared" si="11"/>
        <v>0</v>
      </c>
      <c r="AA77" s="9">
        <f t="shared" si="12"/>
        <v>0</v>
      </c>
      <c r="AB77" s="9">
        <f t="shared" si="13"/>
        <v>0</v>
      </c>
      <c r="AC77" s="9">
        <f t="shared" si="14"/>
        <v>46802.720000000001</v>
      </c>
      <c r="AD77" s="25" t="s">
        <v>56</v>
      </c>
    </row>
    <row r="78" spans="1:30" x14ac:dyDescent="0.3">
      <c r="A78" s="25" t="s">
        <v>46</v>
      </c>
      <c r="D78" s="25" t="s">
        <v>62</v>
      </c>
      <c r="E78" s="25">
        <v>16844</v>
      </c>
      <c r="H78" s="25" t="s">
        <v>61</v>
      </c>
      <c r="I78" s="25" t="s">
        <v>27</v>
      </c>
      <c r="M78" s="26">
        <v>10719840</v>
      </c>
      <c r="N78" s="9">
        <v>0</v>
      </c>
      <c r="O78" s="9">
        <f t="shared" si="10"/>
        <v>10719840</v>
      </c>
      <c r="P78" s="9"/>
      <c r="Q78" s="26">
        <v>0</v>
      </c>
      <c r="R78" s="9"/>
      <c r="S78" s="9"/>
      <c r="T78" s="9"/>
      <c r="U78" s="9"/>
      <c r="V78" s="9"/>
      <c r="W78" s="9"/>
      <c r="X78" s="9"/>
      <c r="Y78" s="9"/>
      <c r="Z78" s="9">
        <f t="shared" si="11"/>
        <v>0</v>
      </c>
      <c r="AA78" s="9">
        <f t="shared" si="12"/>
        <v>0</v>
      </c>
      <c r="AB78" s="9">
        <f t="shared" si="13"/>
        <v>0</v>
      </c>
      <c r="AC78" s="9">
        <f t="shared" si="14"/>
        <v>10719840</v>
      </c>
      <c r="AD78" s="25" t="s">
        <v>56</v>
      </c>
    </row>
    <row r="79" spans="1:30" x14ac:dyDescent="0.3">
      <c r="A79" s="25" t="s">
        <v>44</v>
      </c>
      <c r="D79" s="25" t="s">
        <v>62</v>
      </c>
      <c r="E79" s="25">
        <v>16340</v>
      </c>
      <c r="H79" s="25" t="s">
        <v>45</v>
      </c>
      <c r="I79" s="25" t="s">
        <v>27</v>
      </c>
      <c r="M79" s="26">
        <v>130383.45</v>
      </c>
      <c r="N79" s="9">
        <v>0</v>
      </c>
      <c r="O79" s="9">
        <f t="shared" si="10"/>
        <v>130383.45</v>
      </c>
      <c r="P79" s="9"/>
      <c r="Q79" s="26">
        <v>0</v>
      </c>
      <c r="R79" s="9"/>
      <c r="S79" s="9"/>
      <c r="T79" s="9"/>
      <c r="U79" s="9"/>
      <c r="V79" s="9"/>
      <c r="W79" s="9"/>
      <c r="X79" s="9"/>
      <c r="Y79" s="9"/>
      <c r="Z79" s="9">
        <f t="shared" si="11"/>
        <v>0</v>
      </c>
      <c r="AA79" s="9">
        <f t="shared" si="12"/>
        <v>0</v>
      </c>
      <c r="AB79" s="9">
        <f t="shared" si="13"/>
        <v>0</v>
      </c>
      <c r="AC79" s="9">
        <f t="shared" si="14"/>
        <v>130383.45</v>
      </c>
      <c r="AD79" s="25" t="s">
        <v>56</v>
      </c>
    </row>
    <row r="80" spans="1:30" x14ac:dyDescent="0.3">
      <c r="A80" s="25" t="s">
        <v>51</v>
      </c>
      <c r="B80" s="25" t="s">
        <v>63</v>
      </c>
      <c r="D80" s="25" t="s">
        <v>67</v>
      </c>
      <c r="E80" s="25">
        <v>16340</v>
      </c>
      <c r="H80" s="25" t="s">
        <v>52</v>
      </c>
      <c r="I80" s="25" t="s">
        <v>27</v>
      </c>
      <c r="M80" s="26">
        <v>2390377.21</v>
      </c>
      <c r="N80" s="9">
        <v>1085600</v>
      </c>
      <c r="O80" s="9">
        <f t="shared" si="10"/>
        <v>1304777.21</v>
      </c>
      <c r="P80" s="9"/>
      <c r="Q80" s="26">
        <v>0</v>
      </c>
      <c r="R80" s="9"/>
      <c r="S80" s="9"/>
      <c r="T80" s="9"/>
      <c r="U80" s="9"/>
      <c r="V80" s="9"/>
      <c r="W80" s="9"/>
      <c r="X80" s="9"/>
      <c r="Y80" s="9"/>
      <c r="Z80" s="9">
        <f t="shared" si="11"/>
        <v>0</v>
      </c>
      <c r="AA80" s="9">
        <f t="shared" si="12"/>
        <v>0</v>
      </c>
      <c r="AB80" s="9">
        <f t="shared" si="13"/>
        <v>1085600</v>
      </c>
      <c r="AC80" s="9">
        <f t="shared" si="14"/>
        <v>2390377.21</v>
      </c>
      <c r="AD80" s="25" t="s">
        <v>57</v>
      </c>
    </row>
    <row r="81" spans="1:32" x14ac:dyDescent="0.3">
      <c r="A81" s="25" t="s">
        <v>37</v>
      </c>
      <c r="B81" s="25" t="s">
        <v>64</v>
      </c>
      <c r="D81" s="25" t="s">
        <v>66</v>
      </c>
      <c r="E81" s="25">
        <v>16340</v>
      </c>
      <c r="H81" s="25" t="s">
        <v>38</v>
      </c>
      <c r="I81" s="25" t="s">
        <v>27</v>
      </c>
      <c r="M81" s="26">
        <v>666100</v>
      </c>
      <c r="N81" s="9">
        <v>407599.93</v>
      </c>
      <c r="O81" s="9">
        <f t="shared" si="10"/>
        <v>258500.07</v>
      </c>
      <c r="P81" s="9"/>
      <c r="Q81" s="26">
        <v>0</v>
      </c>
      <c r="R81" s="9"/>
      <c r="S81" s="9"/>
      <c r="T81" s="9"/>
      <c r="U81" s="9"/>
      <c r="V81" s="9"/>
      <c r="W81" s="9"/>
      <c r="X81" s="9"/>
      <c r="Y81" s="9"/>
      <c r="Z81" s="9">
        <f t="shared" si="11"/>
        <v>0</v>
      </c>
      <c r="AA81" s="9">
        <f t="shared" si="12"/>
        <v>0</v>
      </c>
      <c r="AB81" s="9">
        <f t="shared" si="13"/>
        <v>407599.93</v>
      </c>
      <c r="AC81" s="9">
        <f t="shared" si="14"/>
        <v>666100</v>
      </c>
      <c r="AD81" s="25" t="s">
        <v>57</v>
      </c>
    </row>
    <row r="82" spans="1:32" x14ac:dyDescent="0.3">
      <c r="A82" s="25" t="s">
        <v>33</v>
      </c>
      <c r="D82" s="25" t="s">
        <v>62</v>
      </c>
      <c r="E82" s="25">
        <v>16340</v>
      </c>
      <c r="H82" s="25" t="s">
        <v>34</v>
      </c>
      <c r="I82" s="25" t="s">
        <v>27</v>
      </c>
      <c r="M82" s="26">
        <v>2200000</v>
      </c>
      <c r="N82" s="9">
        <v>558675</v>
      </c>
      <c r="O82" s="9">
        <f t="shared" si="10"/>
        <v>1641325</v>
      </c>
      <c r="P82" s="9"/>
      <c r="Q82" s="26">
        <v>558675</v>
      </c>
      <c r="R82" s="9"/>
      <c r="S82" s="9"/>
      <c r="T82" s="9"/>
      <c r="U82" s="9"/>
      <c r="V82" s="9"/>
      <c r="W82" s="9"/>
      <c r="X82" s="9"/>
      <c r="Y82" s="9"/>
      <c r="Z82" s="9">
        <f t="shared" si="11"/>
        <v>0</v>
      </c>
      <c r="AA82" s="9">
        <f t="shared" si="12"/>
        <v>558675</v>
      </c>
      <c r="AB82" s="9">
        <f t="shared" si="13"/>
        <v>0</v>
      </c>
      <c r="AC82" s="9">
        <f t="shared" si="14"/>
        <v>1641325</v>
      </c>
      <c r="AD82" s="25" t="s">
        <v>57</v>
      </c>
      <c r="AF82" s="25" t="s">
        <v>59</v>
      </c>
    </row>
    <row r="83" spans="1:32" x14ac:dyDescent="0.3">
      <c r="A83" s="25" t="s">
        <v>35</v>
      </c>
      <c r="D83" s="25" t="s">
        <v>62</v>
      </c>
      <c r="E83" s="25">
        <v>16340</v>
      </c>
      <c r="H83" s="25" t="s">
        <v>36</v>
      </c>
      <c r="I83" s="25" t="s">
        <v>27</v>
      </c>
      <c r="M83" s="26">
        <v>150000</v>
      </c>
      <c r="N83" s="9">
        <v>0</v>
      </c>
      <c r="O83" s="9">
        <f t="shared" si="10"/>
        <v>150000</v>
      </c>
      <c r="P83" s="9"/>
      <c r="Q83" s="26">
        <v>0</v>
      </c>
      <c r="R83" s="9"/>
      <c r="S83" s="9"/>
      <c r="T83" s="9"/>
      <c r="U83" s="9"/>
      <c r="V83" s="9"/>
      <c r="W83" s="9"/>
      <c r="X83" s="9"/>
      <c r="Y83" s="9"/>
      <c r="Z83" s="9">
        <f t="shared" si="11"/>
        <v>0</v>
      </c>
      <c r="AA83" s="9">
        <f t="shared" si="12"/>
        <v>0</v>
      </c>
      <c r="AB83" s="9">
        <f t="shared" si="13"/>
        <v>0</v>
      </c>
      <c r="AC83" s="9">
        <f t="shared" si="14"/>
        <v>150000</v>
      </c>
      <c r="AD83" s="25" t="s">
        <v>56</v>
      </c>
    </row>
    <row r="84" spans="1:32" x14ac:dyDescent="0.3">
      <c r="A84" s="25" t="s">
        <v>31</v>
      </c>
      <c r="D84" s="25" t="s">
        <v>62</v>
      </c>
      <c r="E84" s="25">
        <v>16340</v>
      </c>
      <c r="H84" s="25" t="s">
        <v>32</v>
      </c>
      <c r="I84" s="25" t="s">
        <v>27</v>
      </c>
      <c r="M84" s="26">
        <v>1650000</v>
      </c>
      <c r="N84" s="9">
        <v>0</v>
      </c>
      <c r="O84" s="9">
        <f t="shared" si="10"/>
        <v>1650000</v>
      </c>
      <c r="P84" s="9"/>
      <c r="Q84" s="26">
        <v>0</v>
      </c>
      <c r="R84" s="9"/>
      <c r="S84" s="9"/>
      <c r="T84" s="9"/>
      <c r="U84" s="9"/>
      <c r="V84" s="9"/>
      <c r="W84" s="9"/>
      <c r="X84" s="9"/>
      <c r="Y84" s="9"/>
      <c r="Z84" s="9">
        <f t="shared" si="11"/>
        <v>0</v>
      </c>
      <c r="AA84" s="9">
        <f t="shared" si="12"/>
        <v>0</v>
      </c>
      <c r="AB84" s="9">
        <f t="shared" si="13"/>
        <v>0</v>
      </c>
      <c r="AC84" s="9">
        <f t="shared" si="14"/>
        <v>1650000</v>
      </c>
      <c r="AD84" s="25" t="s">
        <v>56</v>
      </c>
    </row>
    <row r="85" spans="1:32" x14ac:dyDescent="0.3">
      <c r="B85" s="25" t="s">
        <v>26</v>
      </c>
      <c r="D85" s="25" t="s">
        <v>62</v>
      </c>
      <c r="E85" s="25">
        <v>16844</v>
      </c>
      <c r="G85" s="25">
        <v>1</v>
      </c>
      <c r="H85" s="25" t="s">
        <v>194</v>
      </c>
      <c r="I85" s="25" t="s">
        <v>27</v>
      </c>
      <c r="K85" s="25" t="s">
        <v>28</v>
      </c>
      <c r="L85" s="25">
        <v>685</v>
      </c>
      <c r="M85" s="8">
        <v>9722987.5173045583</v>
      </c>
      <c r="N85" s="9">
        <v>0</v>
      </c>
      <c r="O85" s="9">
        <f t="shared" si="10"/>
        <v>9722987.5173045583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>
        <f t="shared" si="11"/>
        <v>0</v>
      </c>
      <c r="AA85" s="9">
        <f t="shared" si="12"/>
        <v>0</v>
      </c>
      <c r="AB85" s="9">
        <f t="shared" si="13"/>
        <v>0</v>
      </c>
      <c r="AC85" s="9">
        <f t="shared" si="14"/>
        <v>9722987.5173045583</v>
      </c>
      <c r="AD85" s="25" t="s">
        <v>29</v>
      </c>
    </row>
    <row r="86" spans="1:32" x14ac:dyDescent="0.3">
      <c r="D86" s="25" t="s">
        <v>106</v>
      </c>
      <c r="E86" s="25">
        <v>16340</v>
      </c>
      <c r="H86" s="25" t="s">
        <v>162</v>
      </c>
      <c r="I86" s="25" t="s">
        <v>27</v>
      </c>
      <c r="L86" s="25">
        <v>36795</v>
      </c>
      <c r="M86" s="9">
        <v>37331677.700000003</v>
      </c>
      <c r="N86" s="9">
        <v>34401994.729999997</v>
      </c>
      <c r="O86" s="9">
        <f t="shared" si="10"/>
        <v>2929682.9700000063</v>
      </c>
      <c r="P86" s="9">
        <v>6880398.9459999995</v>
      </c>
      <c r="Q86" s="9"/>
      <c r="R86" s="9">
        <v>5058423.3</v>
      </c>
      <c r="S86" s="9">
        <v>11634599.060000001</v>
      </c>
      <c r="T86" s="9">
        <v>3493695.05</v>
      </c>
      <c r="U86" s="9"/>
      <c r="V86" s="9"/>
      <c r="W86" s="9"/>
      <c r="X86" s="9"/>
      <c r="Y86" s="9"/>
      <c r="Z86" s="9">
        <f t="shared" si="11"/>
        <v>20186717.41</v>
      </c>
      <c r="AA86" s="9">
        <f t="shared" si="12"/>
        <v>27067116.355999999</v>
      </c>
      <c r="AB86" s="9">
        <f t="shared" si="13"/>
        <v>7334878.373999998</v>
      </c>
      <c r="AC86" s="9">
        <f t="shared" si="14"/>
        <v>10264561.344000004</v>
      </c>
      <c r="AE86" s="28">
        <v>0.85</v>
      </c>
    </row>
    <row r="87" spans="1:32" x14ac:dyDescent="0.3">
      <c r="A87" s="25" t="s">
        <v>53</v>
      </c>
      <c r="D87" s="25" t="s">
        <v>62</v>
      </c>
      <c r="E87" s="25">
        <v>16844</v>
      </c>
      <c r="H87" s="25" t="s">
        <v>54</v>
      </c>
      <c r="I87" s="25" t="s">
        <v>27</v>
      </c>
      <c r="M87" s="26">
        <v>2600000</v>
      </c>
      <c r="N87" s="9">
        <v>0</v>
      </c>
      <c r="O87" s="9">
        <f t="shared" si="10"/>
        <v>2600000</v>
      </c>
      <c r="P87" s="9"/>
      <c r="Q87" s="26">
        <v>0</v>
      </c>
      <c r="R87" s="9"/>
      <c r="S87" s="9"/>
      <c r="T87" s="9"/>
      <c r="U87" s="9"/>
      <c r="V87" s="9"/>
      <c r="W87" s="9"/>
      <c r="X87" s="9"/>
      <c r="Y87" s="9"/>
      <c r="Z87" s="9">
        <f t="shared" si="11"/>
        <v>0</v>
      </c>
      <c r="AA87" s="9">
        <f t="shared" si="12"/>
        <v>0</v>
      </c>
      <c r="AB87" s="9">
        <f t="shared" si="13"/>
        <v>0</v>
      </c>
      <c r="AC87" s="9">
        <f t="shared" si="14"/>
        <v>2600000</v>
      </c>
      <c r="AD87" s="25" t="s">
        <v>56</v>
      </c>
    </row>
    <row r="88" spans="1:32" x14ac:dyDescent="0.3">
      <c r="D88" s="25" t="s">
        <v>165</v>
      </c>
      <c r="E88" s="25">
        <v>16844</v>
      </c>
      <c r="H88" s="25" t="s">
        <v>164</v>
      </c>
      <c r="I88" s="25" t="s">
        <v>82</v>
      </c>
      <c r="J88" s="25" t="s">
        <v>83</v>
      </c>
      <c r="L88" s="25">
        <v>18173</v>
      </c>
      <c r="M88" s="9">
        <v>9634540.5600000005</v>
      </c>
      <c r="N88" s="9">
        <v>6407477.5800000001</v>
      </c>
      <c r="O88" s="9">
        <f t="shared" si="10"/>
        <v>3227062.9800000004</v>
      </c>
      <c r="P88" s="9">
        <v>1541495.5160000001</v>
      </c>
      <c r="Q88" s="9"/>
      <c r="R88" s="9"/>
      <c r="S88" s="9"/>
      <c r="T88" s="9"/>
      <c r="U88" s="9"/>
      <c r="V88" s="9"/>
      <c r="W88" s="9"/>
      <c r="X88" s="9"/>
      <c r="Y88" s="9"/>
      <c r="Z88" s="9">
        <f t="shared" si="11"/>
        <v>0</v>
      </c>
      <c r="AA88" s="9">
        <f t="shared" si="12"/>
        <v>1541495.5160000001</v>
      </c>
      <c r="AB88" s="9">
        <f t="shared" si="13"/>
        <v>4865982.0640000002</v>
      </c>
      <c r="AC88" s="9">
        <f t="shared" si="14"/>
        <v>8093045.0440000007</v>
      </c>
    </row>
    <row r="89" spans="1:32" x14ac:dyDescent="0.3">
      <c r="A89" s="25" t="s">
        <v>53</v>
      </c>
      <c r="D89" s="25" t="s">
        <v>62</v>
      </c>
      <c r="E89" s="25">
        <v>16879</v>
      </c>
      <c r="H89" s="25" t="s">
        <v>54</v>
      </c>
      <c r="I89" s="25" t="s">
        <v>27</v>
      </c>
      <c r="M89" s="26">
        <v>6057110.2000000002</v>
      </c>
      <c r="N89" s="9">
        <v>0</v>
      </c>
      <c r="O89" s="9">
        <f t="shared" si="10"/>
        <v>6057110.2000000002</v>
      </c>
      <c r="P89" s="9"/>
      <c r="Q89" s="26">
        <v>0</v>
      </c>
      <c r="R89" s="9"/>
      <c r="S89" s="9"/>
      <c r="T89" s="9"/>
      <c r="U89" s="9"/>
      <c r="V89" s="9"/>
      <c r="W89" s="9"/>
      <c r="X89" s="9"/>
      <c r="Y89" s="9"/>
      <c r="Z89" s="9">
        <f t="shared" si="11"/>
        <v>0</v>
      </c>
      <c r="AA89" s="9">
        <f t="shared" si="12"/>
        <v>0</v>
      </c>
      <c r="AB89" s="9">
        <f t="shared" si="13"/>
        <v>0</v>
      </c>
      <c r="AC89" s="9">
        <f t="shared" si="14"/>
        <v>6057110.2000000002</v>
      </c>
      <c r="AD89" s="25" t="s">
        <v>56</v>
      </c>
    </row>
    <row r="90" spans="1:32" x14ac:dyDescent="0.3">
      <c r="D90" s="25" t="s">
        <v>111</v>
      </c>
      <c r="E90" s="25">
        <v>16879</v>
      </c>
      <c r="H90" s="25" t="s">
        <v>81</v>
      </c>
      <c r="I90" s="25" t="s">
        <v>82</v>
      </c>
      <c r="J90" s="25" t="s">
        <v>83</v>
      </c>
      <c r="K90" s="25" t="s">
        <v>168</v>
      </c>
      <c r="L90" s="25">
        <v>330</v>
      </c>
      <c r="M90" s="9">
        <v>2810700.0185658624</v>
      </c>
      <c r="N90" s="9">
        <v>2850122.36</v>
      </c>
      <c r="O90" s="9">
        <f t="shared" ref="O90:O112" si="15">M90-N90</f>
        <v>-39422.34143413743</v>
      </c>
      <c r="P90" s="9">
        <v>570024.47199999995</v>
      </c>
      <c r="Q90" s="9"/>
      <c r="R90" s="9"/>
      <c r="S90" s="9"/>
      <c r="T90" s="9"/>
      <c r="U90" s="9"/>
      <c r="V90" s="9"/>
      <c r="W90" s="9"/>
      <c r="X90" s="9"/>
      <c r="Y90" s="9"/>
      <c r="Z90" s="9">
        <f t="shared" ref="Z90:Z108" si="16">SUM(R90:Y90)</f>
        <v>0</v>
      </c>
      <c r="AA90" s="9">
        <f t="shared" ref="AA90:AA108" si="17">Z90+P90+Q90</f>
        <v>570024.47199999995</v>
      </c>
      <c r="AB90" s="9">
        <f t="shared" ref="AB90:AB108" si="18">N90-AA90</f>
        <v>2280097.8879999998</v>
      </c>
      <c r="AC90" s="9">
        <f t="shared" ref="AC90:AC108" si="19">M90-AA90</f>
        <v>2240675.5465658624</v>
      </c>
      <c r="AE90" s="28">
        <v>0.3</v>
      </c>
    </row>
    <row r="91" spans="1:32" x14ac:dyDescent="0.3">
      <c r="D91" s="25" t="s">
        <v>111</v>
      </c>
      <c r="E91" s="25">
        <v>16879</v>
      </c>
      <c r="H91" s="25" t="s">
        <v>81</v>
      </c>
      <c r="I91" s="25" t="s">
        <v>82</v>
      </c>
      <c r="J91" s="25" t="s">
        <v>83</v>
      </c>
      <c r="K91" s="25" t="s">
        <v>169</v>
      </c>
      <c r="L91" s="25">
        <v>200</v>
      </c>
      <c r="M91" s="9">
        <v>572688.8888798363</v>
      </c>
      <c r="N91" s="9">
        <v>591558.27</v>
      </c>
      <c r="O91" s="9">
        <f t="shared" si="15"/>
        <v>-18869.381120163715</v>
      </c>
      <c r="P91" s="9">
        <v>118311.65400000001</v>
      </c>
      <c r="Q91" s="9"/>
      <c r="R91" s="9"/>
      <c r="S91" s="9"/>
      <c r="T91" s="9"/>
      <c r="U91" s="9"/>
      <c r="V91" s="9"/>
      <c r="W91" s="9"/>
      <c r="X91" s="9"/>
      <c r="Y91" s="9"/>
      <c r="Z91" s="9">
        <f t="shared" si="16"/>
        <v>0</v>
      </c>
      <c r="AA91" s="9">
        <f t="shared" si="17"/>
        <v>118311.65400000001</v>
      </c>
      <c r="AB91" s="9">
        <f t="shared" si="18"/>
        <v>473246.61600000004</v>
      </c>
      <c r="AC91" s="9">
        <f t="shared" si="19"/>
        <v>454377.23487983632</v>
      </c>
      <c r="AE91" s="28">
        <v>0.3</v>
      </c>
    </row>
    <row r="92" spans="1:32" x14ac:dyDescent="0.3">
      <c r="D92" s="25" t="s">
        <v>111</v>
      </c>
      <c r="E92" s="25">
        <v>16879</v>
      </c>
      <c r="H92" s="25" t="s">
        <v>81</v>
      </c>
      <c r="I92" s="25" t="s">
        <v>82</v>
      </c>
      <c r="J92" s="25" t="s">
        <v>83</v>
      </c>
      <c r="K92" s="25" t="s">
        <v>170</v>
      </c>
      <c r="L92" s="25">
        <v>125</v>
      </c>
      <c r="M92" s="9">
        <v>994989.31</v>
      </c>
      <c r="N92" s="9">
        <v>1174581.71</v>
      </c>
      <c r="O92" s="9">
        <f t="shared" si="15"/>
        <v>-179592.39999999991</v>
      </c>
      <c r="P92" s="9">
        <v>234916.342</v>
      </c>
      <c r="Q92" s="9"/>
      <c r="R92" s="9"/>
      <c r="S92" s="9"/>
      <c r="T92" s="9"/>
      <c r="U92" s="9"/>
      <c r="V92" s="9"/>
      <c r="W92" s="9"/>
      <c r="X92" s="9"/>
      <c r="Y92" s="9"/>
      <c r="Z92" s="9">
        <f t="shared" si="16"/>
        <v>0</v>
      </c>
      <c r="AA92" s="9">
        <f t="shared" si="17"/>
        <v>234916.342</v>
      </c>
      <c r="AB92" s="9">
        <f t="shared" si="18"/>
        <v>939665.36800000002</v>
      </c>
      <c r="AC92" s="9">
        <f t="shared" si="19"/>
        <v>760072.96800000011</v>
      </c>
      <c r="AE92" s="28">
        <v>0.3</v>
      </c>
    </row>
    <row r="93" spans="1:32" x14ac:dyDescent="0.3">
      <c r="D93" s="25" t="s">
        <v>111</v>
      </c>
      <c r="E93" s="25">
        <v>16879</v>
      </c>
      <c r="H93" s="25" t="s">
        <v>81</v>
      </c>
      <c r="I93" s="25" t="s">
        <v>82</v>
      </c>
      <c r="J93" s="25" t="s">
        <v>83</v>
      </c>
      <c r="K93" s="25" t="s">
        <v>171</v>
      </c>
      <c r="L93" s="25">
        <v>225</v>
      </c>
      <c r="M93" s="9">
        <v>1086179.3</v>
      </c>
      <c r="N93" s="9">
        <v>1176197.75</v>
      </c>
      <c r="O93" s="9">
        <f t="shared" si="15"/>
        <v>-90018.449999999953</v>
      </c>
      <c r="P93" s="9">
        <v>235239.55000000002</v>
      </c>
      <c r="Q93" s="9"/>
      <c r="R93" s="9"/>
      <c r="S93" s="9"/>
      <c r="T93" s="9"/>
      <c r="U93" s="9"/>
      <c r="V93" s="9"/>
      <c r="W93" s="9"/>
      <c r="X93" s="9"/>
      <c r="Y93" s="9"/>
      <c r="Z93" s="9">
        <f t="shared" si="16"/>
        <v>0</v>
      </c>
      <c r="AA93" s="9">
        <f t="shared" si="17"/>
        <v>235239.55000000002</v>
      </c>
      <c r="AB93" s="9">
        <f t="shared" si="18"/>
        <v>940958.2</v>
      </c>
      <c r="AC93" s="9">
        <f t="shared" si="19"/>
        <v>850939.75</v>
      </c>
      <c r="AE93" s="28">
        <v>0.3</v>
      </c>
    </row>
    <row r="94" spans="1:32" x14ac:dyDescent="0.3">
      <c r="D94" s="25" t="s">
        <v>111</v>
      </c>
      <c r="E94" s="25">
        <v>16879</v>
      </c>
      <c r="H94" s="25" t="s">
        <v>81</v>
      </c>
      <c r="I94" s="25" t="s">
        <v>82</v>
      </c>
      <c r="J94" s="25" t="s">
        <v>83</v>
      </c>
      <c r="K94" s="25" t="s">
        <v>172</v>
      </c>
      <c r="L94" s="25">
        <v>225</v>
      </c>
      <c r="M94" s="9">
        <v>1075691.02</v>
      </c>
      <c r="N94" s="9">
        <v>1091934.29</v>
      </c>
      <c r="O94" s="9">
        <f t="shared" si="15"/>
        <v>-16243.270000000019</v>
      </c>
      <c r="P94" s="9">
        <v>218386.85800000001</v>
      </c>
      <c r="Q94" s="9"/>
      <c r="R94" s="9"/>
      <c r="S94" s="9"/>
      <c r="T94" s="9"/>
      <c r="U94" s="9"/>
      <c r="V94" s="9"/>
      <c r="W94" s="9"/>
      <c r="X94" s="9"/>
      <c r="Y94" s="9"/>
      <c r="Z94" s="9">
        <f t="shared" si="16"/>
        <v>0</v>
      </c>
      <c r="AA94" s="9">
        <f t="shared" si="17"/>
        <v>218386.85800000001</v>
      </c>
      <c r="AB94" s="9">
        <f t="shared" si="18"/>
        <v>873547.43200000003</v>
      </c>
      <c r="AC94" s="9">
        <f t="shared" si="19"/>
        <v>857304.16200000001</v>
      </c>
      <c r="AE94" s="28">
        <v>0.3</v>
      </c>
    </row>
    <row r="95" spans="1:32" x14ac:dyDescent="0.3">
      <c r="D95" s="25" t="s">
        <v>111</v>
      </c>
      <c r="E95" s="25">
        <v>16879</v>
      </c>
      <c r="H95" s="25" t="s">
        <v>81</v>
      </c>
      <c r="I95" s="25" t="s">
        <v>82</v>
      </c>
      <c r="J95" s="25" t="s">
        <v>83</v>
      </c>
      <c r="K95" s="25" t="s">
        <v>173</v>
      </c>
      <c r="L95" s="25">
        <v>505</v>
      </c>
      <c r="M95" s="9">
        <v>1920848.44</v>
      </c>
      <c r="N95" s="9">
        <v>2060622.85</v>
      </c>
      <c r="O95" s="9">
        <f t="shared" si="15"/>
        <v>-139774.41000000015</v>
      </c>
      <c r="P95" s="9">
        <v>412124.57000000007</v>
      </c>
      <c r="Q95" s="9"/>
      <c r="R95" s="9"/>
      <c r="S95" s="9"/>
      <c r="T95" s="9"/>
      <c r="U95" s="9"/>
      <c r="V95" s="9"/>
      <c r="W95" s="9"/>
      <c r="X95" s="9"/>
      <c r="Y95" s="9"/>
      <c r="Z95" s="9">
        <f t="shared" si="16"/>
        <v>0</v>
      </c>
      <c r="AA95" s="9">
        <f t="shared" si="17"/>
        <v>412124.57000000007</v>
      </c>
      <c r="AB95" s="9">
        <f t="shared" si="18"/>
        <v>1648498.28</v>
      </c>
      <c r="AC95" s="9">
        <f t="shared" si="19"/>
        <v>1508723.8699999999</v>
      </c>
      <c r="AE95" s="28">
        <v>0.3</v>
      </c>
    </row>
    <row r="96" spans="1:32" x14ac:dyDescent="0.3">
      <c r="D96" s="25" t="s">
        <v>111</v>
      </c>
      <c r="E96" s="25">
        <v>16879</v>
      </c>
      <c r="H96" s="25" t="s">
        <v>108</v>
      </c>
      <c r="I96" s="25" t="s">
        <v>82</v>
      </c>
      <c r="J96" s="25" t="s">
        <v>83</v>
      </c>
      <c r="K96" s="25" t="s">
        <v>174</v>
      </c>
      <c r="L96" s="25">
        <v>1200</v>
      </c>
      <c r="M96" s="9">
        <v>3179737.7087980006</v>
      </c>
      <c r="N96" s="9">
        <v>2861763.94</v>
      </c>
      <c r="O96" s="9">
        <f t="shared" si="15"/>
        <v>317973.76879800064</v>
      </c>
      <c r="P96" s="9">
        <v>572352.78800000006</v>
      </c>
      <c r="Q96" s="9"/>
      <c r="R96" s="9"/>
      <c r="S96" s="9"/>
      <c r="T96" s="9"/>
      <c r="U96" s="9"/>
      <c r="V96" s="9"/>
      <c r="W96" s="9"/>
      <c r="X96" s="9"/>
      <c r="Y96" s="9"/>
      <c r="Z96" s="9">
        <f t="shared" si="16"/>
        <v>0</v>
      </c>
      <c r="AA96" s="9">
        <f t="shared" si="17"/>
        <v>572352.78800000006</v>
      </c>
      <c r="AB96" s="9">
        <f t="shared" si="18"/>
        <v>2289411.1519999998</v>
      </c>
      <c r="AC96" s="9">
        <f t="shared" si="19"/>
        <v>2607384.9207980004</v>
      </c>
    </row>
    <row r="97" spans="2:30" x14ac:dyDescent="0.3">
      <c r="D97" s="25" t="s">
        <v>111</v>
      </c>
      <c r="E97" s="25">
        <v>16879</v>
      </c>
      <c r="H97" s="25" t="s">
        <v>108</v>
      </c>
      <c r="I97" s="25" t="s">
        <v>82</v>
      </c>
      <c r="J97" s="25" t="s">
        <v>83</v>
      </c>
      <c r="K97" s="25" t="s">
        <v>169</v>
      </c>
      <c r="L97" s="25">
        <v>200</v>
      </c>
      <c r="M97" s="9">
        <v>3126304.2513624178</v>
      </c>
      <c r="N97" s="9">
        <v>2813673.83</v>
      </c>
      <c r="O97" s="9">
        <f t="shared" si="15"/>
        <v>312630.42136241775</v>
      </c>
      <c r="P97" s="9">
        <v>562734.76600000006</v>
      </c>
      <c r="Q97" s="9"/>
      <c r="R97" s="9"/>
      <c r="S97" s="9"/>
      <c r="T97" s="9"/>
      <c r="U97" s="9"/>
      <c r="V97" s="9"/>
      <c r="W97" s="9"/>
      <c r="X97" s="9"/>
      <c r="Y97" s="9"/>
      <c r="Z97" s="9">
        <f t="shared" si="16"/>
        <v>0</v>
      </c>
      <c r="AA97" s="9">
        <f t="shared" si="17"/>
        <v>562734.76600000006</v>
      </c>
      <c r="AB97" s="9">
        <f t="shared" si="18"/>
        <v>2250939.0640000002</v>
      </c>
      <c r="AC97" s="9">
        <f t="shared" si="19"/>
        <v>2563569.485362418</v>
      </c>
    </row>
    <row r="98" spans="2:30" x14ac:dyDescent="0.3">
      <c r="D98" s="25" t="s">
        <v>111</v>
      </c>
      <c r="E98" s="25">
        <v>16879</v>
      </c>
      <c r="H98" s="25" t="s">
        <v>81</v>
      </c>
      <c r="I98" s="25" t="s">
        <v>82</v>
      </c>
      <c r="K98" s="25" t="s">
        <v>175</v>
      </c>
      <c r="L98" s="25">
        <v>275</v>
      </c>
      <c r="M98" s="9">
        <v>2025719.18</v>
      </c>
      <c r="N98" s="9">
        <v>2009340.36</v>
      </c>
      <c r="O98" s="9">
        <f t="shared" si="15"/>
        <v>16378.819999999832</v>
      </c>
      <c r="P98" s="9">
        <v>401868.07200000004</v>
      </c>
      <c r="Q98" s="9"/>
      <c r="R98" s="9"/>
      <c r="S98" s="9"/>
      <c r="T98" s="9"/>
      <c r="U98" s="9"/>
      <c r="V98" s="9"/>
      <c r="W98" s="9"/>
      <c r="X98" s="9"/>
      <c r="Y98" s="9"/>
      <c r="Z98" s="9">
        <f t="shared" si="16"/>
        <v>0</v>
      </c>
      <c r="AA98" s="9">
        <f t="shared" si="17"/>
        <v>401868.07200000004</v>
      </c>
      <c r="AB98" s="9">
        <f t="shared" si="18"/>
        <v>1607472.2880000002</v>
      </c>
      <c r="AC98" s="9">
        <f t="shared" si="19"/>
        <v>1623851.108</v>
      </c>
    </row>
    <row r="99" spans="2:30" x14ac:dyDescent="0.3">
      <c r="D99" s="25" t="s">
        <v>111</v>
      </c>
      <c r="E99" s="25">
        <v>16879</v>
      </c>
      <c r="H99" s="25" t="s">
        <v>81</v>
      </c>
      <c r="I99" s="25" t="s">
        <v>82</v>
      </c>
      <c r="K99" s="25" t="s">
        <v>176</v>
      </c>
      <c r="L99" s="25">
        <v>280</v>
      </c>
      <c r="M99" s="9">
        <v>2535373.4900000002</v>
      </c>
      <c r="N99" s="9">
        <v>2584327.9700000002</v>
      </c>
      <c r="O99" s="9">
        <f t="shared" si="15"/>
        <v>-48954.479999999981</v>
      </c>
      <c r="P99" s="9">
        <v>516865.59400000004</v>
      </c>
      <c r="Q99" s="9"/>
      <c r="R99" s="9"/>
      <c r="S99" s="9"/>
      <c r="T99" s="9"/>
      <c r="U99" s="9"/>
      <c r="V99" s="9"/>
      <c r="W99" s="9"/>
      <c r="X99" s="9"/>
      <c r="Y99" s="9"/>
      <c r="Z99" s="9">
        <f t="shared" si="16"/>
        <v>0</v>
      </c>
      <c r="AA99" s="9">
        <f t="shared" si="17"/>
        <v>516865.59400000004</v>
      </c>
      <c r="AB99" s="9">
        <f t="shared" si="18"/>
        <v>2067462.3760000002</v>
      </c>
      <c r="AC99" s="9">
        <f t="shared" si="19"/>
        <v>2018507.8960000002</v>
      </c>
    </row>
    <row r="100" spans="2:30" x14ac:dyDescent="0.3">
      <c r="D100" s="25" t="s">
        <v>111</v>
      </c>
      <c r="E100" s="25">
        <v>16879</v>
      </c>
      <c r="H100" s="25" t="s">
        <v>81</v>
      </c>
      <c r="I100" s="25" t="s">
        <v>82</v>
      </c>
      <c r="K100" s="25" t="s">
        <v>177</v>
      </c>
      <c r="L100" s="25">
        <v>125</v>
      </c>
      <c r="M100" s="9">
        <v>565528.51</v>
      </c>
      <c r="N100" s="9">
        <v>581155.59</v>
      </c>
      <c r="O100" s="9">
        <f t="shared" si="15"/>
        <v>-15627.079999999958</v>
      </c>
      <c r="P100" s="9">
        <v>116231.118</v>
      </c>
      <c r="Q100" s="9"/>
      <c r="R100" s="9"/>
      <c r="S100" s="9"/>
      <c r="T100" s="9"/>
      <c r="U100" s="9"/>
      <c r="V100" s="9"/>
      <c r="W100" s="9"/>
      <c r="X100" s="9"/>
      <c r="Y100" s="9"/>
      <c r="Z100" s="9">
        <f t="shared" si="16"/>
        <v>0</v>
      </c>
      <c r="AA100" s="9">
        <f t="shared" si="17"/>
        <v>116231.118</v>
      </c>
      <c r="AB100" s="9">
        <f t="shared" si="18"/>
        <v>464924.47199999995</v>
      </c>
      <c r="AC100" s="9">
        <f t="shared" si="19"/>
        <v>449297.39199999999</v>
      </c>
    </row>
    <row r="101" spans="2:30" x14ac:dyDescent="0.3">
      <c r="D101" s="25" t="s">
        <v>111</v>
      </c>
      <c r="E101" s="25">
        <v>16879</v>
      </c>
      <c r="H101" s="25" t="s">
        <v>81</v>
      </c>
      <c r="I101" s="25" t="s">
        <v>82</v>
      </c>
      <c r="K101" s="25" t="s">
        <v>178</v>
      </c>
      <c r="L101" s="25">
        <v>100</v>
      </c>
      <c r="M101" s="9">
        <v>693468.93</v>
      </c>
      <c r="N101" s="9">
        <v>671509.05</v>
      </c>
      <c r="O101" s="9">
        <f t="shared" si="15"/>
        <v>21959.880000000005</v>
      </c>
      <c r="P101" s="9">
        <v>134301.81000000003</v>
      </c>
      <c r="Q101" s="9"/>
      <c r="R101" s="9"/>
      <c r="S101" s="9"/>
      <c r="T101" s="9"/>
      <c r="U101" s="9"/>
      <c r="V101" s="9"/>
      <c r="W101" s="9"/>
      <c r="X101" s="9"/>
      <c r="Y101" s="9"/>
      <c r="Z101" s="9">
        <f t="shared" si="16"/>
        <v>0</v>
      </c>
      <c r="AA101" s="9">
        <f t="shared" si="17"/>
        <v>134301.81000000003</v>
      </c>
      <c r="AB101" s="9">
        <f t="shared" si="18"/>
        <v>537207.24</v>
      </c>
      <c r="AC101" s="9">
        <f t="shared" si="19"/>
        <v>559167.12</v>
      </c>
    </row>
    <row r="102" spans="2:30" x14ac:dyDescent="0.3">
      <c r="D102" s="25" t="s">
        <v>111</v>
      </c>
      <c r="E102" s="25">
        <v>16879</v>
      </c>
      <c r="H102" s="25" t="s">
        <v>81</v>
      </c>
      <c r="I102" s="25" t="s">
        <v>82</v>
      </c>
      <c r="K102" s="25" t="s">
        <v>179</v>
      </c>
      <c r="L102" s="25">
        <v>1000</v>
      </c>
      <c r="M102" s="9">
        <v>2094659.12</v>
      </c>
      <c r="N102" s="9">
        <v>2214571.5</v>
      </c>
      <c r="O102" s="9">
        <f t="shared" si="15"/>
        <v>-119912.37999999989</v>
      </c>
      <c r="P102" s="9">
        <v>442914.30000000005</v>
      </c>
      <c r="Q102" s="9"/>
      <c r="R102" s="9"/>
      <c r="S102" s="9"/>
      <c r="T102" s="9"/>
      <c r="U102" s="9"/>
      <c r="V102" s="9"/>
      <c r="W102" s="9"/>
      <c r="X102" s="9"/>
      <c r="Y102" s="9"/>
      <c r="Z102" s="9">
        <f t="shared" si="16"/>
        <v>0</v>
      </c>
      <c r="AA102" s="9">
        <f t="shared" si="17"/>
        <v>442914.30000000005</v>
      </c>
      <c r="AB102" s="9">
        <f t="shared" si="18"/>
        <v>1771657.2</v>
      </c>
      <c r="AC102" s="9">
        <f t="shared" si="19"/>
        <v>1651744.82</v>
      </c>
    </row>
    <row r="103" spans="2:30" x14ac:dyDescent="0.3">
      <c r="D103" s="25" t="s">
        <v>111</v>
      </c>
      <c r="E103" s="25">
        <v>16879</v>
      </c>
      <c r="H103" s="25" t="s">
        <v>81</v>
      </c>
      <c r="I103" s="25" t="s">
        <v>82</v>
      </c>
      <c r="K103" s="25" t="s">
        <v>180</v>
      </c>
      <c r="L103" s="25">
        <v>75</v>
      </c>
      <c r="M103" s="9">
        <v>1228598.75</v>
      </c>
      <c r="N103" s="9">
        <v>1298144.8700000001</v>
      </c>
      <c r="O103" s="9">
        <f t="shared" si="15"/>
        <v>-69546.120000000112</v>
      </c>
      <c r="P103" s="9">
        <v>259628.97400000005</v>
      </c>
      <c r="Q103" s="9"/>
      <c r="R103" s="9"/>
      <c r="S103" s="9"/>
      <c r="T103" s="9"/>
      <c r="U103" s="9"/>
      <c r="V103" s="9"/>
      <c r="W103" s="9"/>
      <c r="X103" s="9"/>
      <c r="Y103" s="9"/>
      <c r="Z103" s="9">
        <f t="shared" si="16"/>
        <v>0</v>
      </c>
      <c r="AA103" s="9">
        <f t="shared" si="17"/>
        <v>259628.97400000005</v>
      </c>
      <c r="AB103" s="9">
        <f t="shared" si="18"/>
        <v>1038515.8960000001</v>
      </c>
      <c r="AC103" s="9">
        <f t="shared" si="19"/>
        <v>968969.77599999995</v>
      </c>
    </row>
    <row r="104" spans="2:30" x14ac:dyDescent="0.3">
      <c r="D104" s="25" t="s">
        <v>111</v>
      </c>
      <c r="E104" s="25">
        <v>16879</v>
      </c>
      <c r="H104" s="25" t="s">
        <v>81</v>
      </c>
      <c r="I104" s="25" t="s">
        <v>82</v>
      </c>
      <c r="K104" s="25" t="s">
        <v>181</v>
      </c>
      <c r="L104" s="25">
        <v>30</v>
      </c>
      <c r="M104" s="9">
        <v>2295873.41</v>
      </c>
      <c r="N104" s="9">
        <v>2424188.91</v>
      </c>
      <c r="O104" s="9">
        <f t="shared" si="15"/>
        <v>-128315.5</v>
      </c>
      <c r="P104" s="9">
        <v>484837.78200000006</v>
      </c>
      <c r="Q104" s="9"/>
      <c r="R104" s="9"/>
      <c r="S104" s="9"/>
      <c r="T104" s="9"/>
      <c r="U104" s="9"/>
      <c r="V104" s="9"/>
      <c r="W104" s="9"/>
      <c r="X104" s="9"/>
      <c r="Y104" s="9"/>
      <c r="Z104" s="9">
        <f t="shared" si="16"/>
        <v>0</v>
      </c>
      <c r="AA104" s="9">
        <f t="shared" si="17"/>
        <v>484837.78200000006</v>
      </c>
      <c r="AB104" s="9">
        <f t="shared" si="18"/>
        <v>1939351.128</v>
      </c>
      <c r="AC104" s="9">
        <f t="shared" si="19"/>
        <v>1811035.628</v>
      </c>
    </row>
    <row r="105" spans="2:30" x14ac:dyDescent="0.3">
      <c r="D105" s="25" t="s">
        <v>111</v>
      </c>
      <c r="E105" s="25">
        <v>16879</v>
      </c>
      <c r="H105" s="25" t="s">
        <v>108</v>
      </c>
      <c r="I105" s="25" t="s">
        <v>82</v>
      </c>
      <c r="K105" s="25" t="s">
        <v>182</v>
      </c>
      <c r="L105" s="25">
        <v>1000</v>
      </c>
      <c r="M105" s="9">
        <v>3126304.2513624178</v>
      </c>
      <c r="N105" s="9">
        <v>2813673.83</v>
      </c>
      <c r="O105" s="9">
        <f t="shared" si="15"/>
        <v>312630.42136241775</v>
      </c>
      <c r="P105" s="9">
        <v>562734.76600000006</v>
      </c>
      <c r="Q105" s="9"/>
      <c r="R105" s="9"/>
      <c r="S105" s="9"/>
      <c r="T105" s="9"/>
      <c r="U105" s="9"/>
      <c r="V105" s="9"/>
      <c r="W105" s="9"/>
      <c r="X105" s="9"/>
      <c r="Y105" s="9"/>
      <c r="Z105" s="9">
        <f t="shared" si="16"/>
        <v>0</v>
      </c>
      <c r="AA105" s="9">
        <f t="shared" si="17"/>
        <v>562734.76600000006</v>
      </c>
      <c r="AB105" s="9">
        <f t="shared" si="18"/>
        <v>2250939.0640000002</v>
      </c>
      <c r="AC105" s="9">
        <f t="shared" si="19"/>
        <v>2563569.485362418</v>
      </c>
    </row>
    <row r="106" spans="2:30" x14ac:dyDescent="0.3">
      <c r="D106" s="25" t="s">
        <v>111</v>
      </c>
      <c r="E106" s="25">
        <v>16879</v>
      </c>
      <c r="H106" s="25" t="s">
        <v>108</v>
      </c>
      <c r="I106" s="25" t="s">
        <v>82</v>
      </c>
      <c r="K106" s="25" t="s">
        <v>180</v>
      </c>
      <c r="L106" s="25">
        <v>75</v>
      </c>
      <c r="M106" s="9">
        <v>3126304.2513624178</v>
      </c>
      <c r="N106" s="9">
        <v>2813673.83</v>
      </c>
      <c r="O106" s="9">
        <f t="shared" si="15"/>
        <v>312630.42136241775</v>
      </c>
      <c r="P106" s="9">
        <v>562734.76600000006</v>
      </c>
      <c r="Q106" s="9"/>
      <c r="R106" s="9"/>
      <c r="S106" s="9"/>
      <c r="T106" s="9"/>
      <c r="U106" s="9"/>
      <c r="V106" s="9"/>
      <c r="W106" s="9"/>
      <c r="X106" s="9"/>
      <c r="Y106" s="9"/>
      <c r="Z106" s="9">
        <f t="shared" si="16"/>
        <v>0</v>
      </c>
      <c r="AA106" s="9">
        <f t="shared" si="17"/>
        <v>562734.76600000006</v>
      </c>
      <c r="AB106" s="9">
        <f t="shared" si="18"/>
        <v>2250939.0640000002</v>
      </c>
      <c r="AC106" s="9">
        <f t="shared" si="19"/>
        <v>2563569.485362418</v>
      </c>
    </row>
    <row r="107" spans="2:30" x14ac:dyDescent="0.3">
      <c r="B107" s="25" t="s">
        <v>188</v>
      </c>
      <c r="D107" s="25" t="s">
        <v>187</v>
      </c>
      <c r="E107" s="25">
        <v>16879</v>
      </c>
      <c r="F107" s="25" t="s">
        <v>167</v>
      </c>
      <c r="G107" s="25">
        <v>14</v>
      </c>
      <c r="H107" s="25" t="s">
        <v>81</v>
      </c>
      <c r="I107" s="25" t="s">
        <v>82</v>
      </c>
      <c r="J107" s="25" t="s">
        <v>88</v>
      </c>
      <c r="K107" s="25" t="s">
        <v>183</v>
      </c>
      <c r="L107" s="25">
        <v>75</v>
      </c>
      <c r="M107" s="9">
        <v>705067.08</v>
      </c>
      <c r="N107" s="9">
        <v>648739.39</v>
      </c>
      <c r="O107" s="9">
        <f t="shared" si="15"/>
        <v>56327.689999999944</v>
      </c>
      <c r="P107" s="9">
        <v>129747.87800000001</v>
      </c>
      <c r="Q107" s="9"/>
      <c r="R107" s="9">
        <v>393436.7</v>
      </c>
      <c r="S107" s="9"/>
      <c r="T107" s="9"/>
      <c r="U107" s="9"/>
      <c r="V107" s="9"/>
      <c r="W107" s="9"/>
      <c r="X107" s="9"/>
      <c r="Y107" s="9"/>
      <c r="Z107" s="9">
        <f t="shared" si="16"/>
        <v>393436.7</v>
      </c>
      <c r="AA107" s="9">
        <f t="shared" si="17"/>
        <v>523184.57800000004</v>
      </c>
      <c r="AB107" s="9">
        <f t="shared" si="18"/>
        <v>125554.81199999998</v>
      </c>
      <c r="AC107" s="9">
        <f t="shared" si="19"/>
        <v>181882.50199999992</v>
      </c>
      <c r="AD107" s="25" t="s">
        <v>189</v>
      </c>
    </row>
    <row r="108" spans="2:30" x14ac:dyDescent="0.3">
      <c r="B108" s="25" t="s">
        <v>188</v>
      </c>
      <c r="D108" s="25" t="s">
        <v>187</v>
      </c>
      <c r="E108" s="25">
        <v>16879</v>
      </c>
      <c r="F108" s="25" t="s">
        <v>167</v>
      </c>
      <c r="G108" s="25">
        <v>15</v>
      </c>
      <c r="H108" s="25" t="s">
        <v>81</v>
      </c>
      <c r="I108" s="25" t="s">
        <v>82</v>
      </c>
      <c r="J108" s="25" t="s">
        <v>88</v>
      </c>
      <c r="K108" s="25" t="s">
        <v>184</v>
      </c>
      <c r="L108" s="25">
        <v>350</v>
      </c>
      <c r="M108" s="9">
        <v>1502938.05</v>
      </c>
      <c r="N108" s="9">
        <v>1396857.16</v>
      </c>
      <c r="O108" s="9">
        <f t="shared" si="15"/>
        <v>106080.89000000013</v>
      </c>
      <c r="P108" s="9">
        <v>279371.43199999997</v>
      </c>
      <c r="Q108" s="9"/>
      <c r="R108" s="9">
        <v>900373.29</v>
      </c>
      <c r="S108" s="9"/>
      <c r="T108" s="9"/>
      <c r="U108" s="9"/>
      <c r="V108" s="9"/>
      <c r="W108" s="9"/>
      <c r="X108" s="9"/>
      <c r="Y108" s="9"/>
      <c r="Z108" s="9">
        <f t="shared" si="16"/>
        <v>900373.29</v>
      </c>
      <c r="AA108" s="9">
        <f t="shared" si="17"/>
        <v>1179744.7220000001</v>
      </c>
      <c r="AB108" s="9">
        <f t="shared" si="18"/>
        <v>217112.43799999985</v>
      </c>
      <c r="AC108" s="9">
        <f t="shared" si="19"/>
        <v>323193.32799999998</v>
      </c>
      <c r="AD108" s="25" t="s">
        <v>189</v>
      </c>
    </row>
    <row r="109" spans="2:30" x14ac:dyDescent="0.3">
      <c r="B109" s="25" t="s">
        <v>188</v>
      </c>
      <c r="D109" s="25" t="s">
        <v>111</v>
      </c>
      <c r="E109" s="25">
        <v>16879</v>
      </c>
      <c r="F109" s="25" t="s">
        <v>167</v>
      </c>
      <c r="G109" s="25">
        <v>5</v>
      </c>
      <c r="H109" s="25" t="s">
        <v>108</v>
      </c>
      <c r="I109" s="25" t="s">
        <v>82</v>
      </c>
      <c r="J109" s="25" t="s">
        <v>88</v>
      </c>
      <c r="K109" s="25" t="s">
        <v>185</v>
      </c>
      <c r="L109" s="25">
        <v>380</v>
      </c>
      <c r="M109" s="9">
        <v>3126304.2513624178</v>
      </c>
      <c r="N109" s="9">
        <v>2813673.83</v>
      </c>
      <c r="O109" s="9">
        <f t="shared" si="15"/>
        <v>312630.42136241775</v>
      </c>
      <c r="P109" s="9">
        <v>562734.76600000006</v>
      </c>
      <c r="Q109" s="9"/>
      <c r="R109" s="9"/>
      <c r="S109" s="9"/>
      <c r="T109" s="9"/>
      <c r="U109" s="9"/>
      <c r="V109" s="9"/>
      <c r="W109" s="9"/>
      <c r="X109" s="9"/>
      <c r="Y109" s="9"/>
      <c r="Z109" s="9">
        <f t="shared" ref="Z109:Z112" si="20">SUM(R109:Y109)</f>
        <v>0</v>
      </c>
      <c r="AA109" s="9">
        <f t="shared" ref="AA109:AA112" si="21">Z109+P109+Q109</f>
        <v>562734.76600000006</v>
      </c>
      <c r="AB109" s="9">
        <f t="shared" ref="AB109:AB112" si="22">N109-AA109</f>
        <v>2250939.0640000002</v>
      </c>
      <c r="AC109" s="9">
        <f t="shared" ref="AC109:AC112" si="23">M109-AA109</f>
        <v>2563569.485362418</v>
      </c>
    </row>
    <row r="110" spans="2:30" x14ac:dyDescent="0.3">
      <c r="B110" s="25" t="s">
        <v>188</v>
      </c>
      <c r="D110" s="25" t="s">
        <v>111</v>
      </c>
      <c r="E110" s="25">
        <v>16879</v>
      </c>
      <c r="F110" s="25" t="s">
        <v>167</v>
      </c>
      <c r="G110" s="25">
        <v>6</v>
      </c>
      <c r="H110" s="25" t="s">
        <v>108</v>
      </c>
      <c r="I110" s="25" t="s">
        <v>82</v>
      </c>
      <c r="J110" s="25" t="s">
        <v>88</v>
      </c>
      <c r="K110" s="25" t="s">
        <v>186</v>
      </c>
      <c r="L110" s="25">
        <v>250</v>
      </c>
      <c r="M110" s="9">
        <v>3126304.2513624178</v>
      </c>
      <c r="N110" s="9">
        <v>2813673.83</v>
      </c>
      <c r="O110" s="9">
        <f t="shared" si="15"/>
        <v>312630.42136241775</v>
      </c>
      <c r="P110" s="9">
        <v>562734.76600000006</v>
      </c>
      <c r="Q110" s="9"/>
      <c r="R110" s="9"/>
      <c r="S110" s="9"/>
      <c r="T110" s="9"/>
      <c r="U110" s="9"/>
      <c r="V110" s="9"/>
      <c r="W110" s="9"/>
      <c r="X110" s="9"/>
      <c r="Y110" s="9"/>
      <c r="Z110" s="9">
        <f t="shared" si="20"/>
        <v>0</v>
      </c>
      <c r="AA110" s="9">
        <f t="shared" si="21"/>
        <v>562734.76600000006</v>
      </c>
      <c r="AB110" s="9">
        <f t="shared" si="22"/>
        <v>2250939.0640000002</v>
      </c>
      <c r="AC110" s="9">
        <f t="shared" si="23"/>
        <v>2563569.485362418</v>
      </c>
    </row>
    <row r="111" spans="2:30" x14ac:dyDescent="0.3">
      <c r="B111" s="25" t="s">
        <v>192</v>
      </c>
      <c r="D111" s="25" t="s">
        <v>191</v>
      </c>
      <c r="E111" s="25">
        <v>16879</v>
      </c>
      <c r="F111" s="25" t="s">
        <v>166</v>
      </c>
      <c r="G111" s="25">
        <v>1</v>
      </c>
      <c r="H111" s="25" t="s">
        <v>91</v>
      </c>
      <c r="I111" s="25" t="s">
        <v>82</v>
      </c>
      <c r="K111" s="25" t="s">
        <v>93</v>
      </c>
      <c r="L111" s="25">
        <v>1000</v>
      </c>
      <c r="M111" s="9">
        <v>4561600.7837957228</v>
      </c>
      <c r="N111" s="9">
        <v>0</v>
      </c>
      <c r="O111" s="9">
        <f t="shared" si="15"/>
        <v>4561600.7837957228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>
        <f t="shared" si="20"/>
        <v>0</v>
      </c>
      <c r="AA111" s="9">
        <f t="shared" si="21"/>
        <v>0</v>
      </c>
      <c r="AB111" s="9">
        <f t="shared" si="22"/>
        <v>0</v>
      </c>
      <c r="AC111" s="9">
        <f t="shared" si="23"/>
        <v>4561600.7837957228</v>
      </c>
      <c r="AD111" s="25" t="s">
        <v>193</v>
      </c>
    </row>
    <row r="112" spans="2:30" x14ac:dyDescent="0.3">
      <c r="B112" s="25" t="s">
        <v>192</v>
      </c>
      <c r="D112" s="25" t="s">
        <v>191</v>
      </c>
      <c r="E112" s="25">
        <v>16879</v>
      </c>
      <c r="F112" s="25" t="s">
        <v>166</v>
      </c>
      <c r="G112" s="25">
        <v>2</v>
      </c>
      <c r="H112" s="25" t="s">
        <v>92</v>
      </c>
      <c r="I112" s="25" t="s">
        <v>82</v>
      </c>
      <c r="K112" s="25" t="s">
        <v>93</v>
      </c>
      <c r="L112" s="25">
        <v>1000</v>
      </c>
      <c r="M112" s="9">
        <v>4561600.7837957228</v>
      </c>
      <c r="N112" s="9">
        <v>0</v>
      </c>
      <c r="O112" s="9">
        <f t="shared" si="15"/>
        <v>4561600.7837957228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>
        <f t="shared" si="20"/>
        <v>0</v>
      </c>
      <c r="AA112" s="9">
        <f t="shared" si="21"/>
        <v>0</v>
      </c>
      <c r="AB112" s="9">
        <f t="shared" si="22"/>
        <v>0</v>
      </c>
      <c r="AC112" s="9">
        <f t="shared" si="23"/>
        <v>4561600.7837957228</v>
      </c>
      <c r="AD112" s="25" t="s">
        <v>193</v>
      </c>
    </row>
    <row r="113" spans="13:15" x14ac:dyDescent="0.3">
      <c r="M113" s="29">
        <f>SUBTOTAL(109,Tabla1[Monto Presupuesto RD$])</f>
        <v>267612954.1207777</v>
      </c>
      <c r="N113" s="29">
        <f>SUBTOTAL(109,Tabla1[[Monto Adjudicado ]])</f>
        <v>178926844.62000012</v>
      </c>
      <c r="O113" s="9">
        <f t="shared" ref="O113:O125" si="24">M113-N113</f>
        <v>88686109.500777572</v>
      </c>
    </row>
    <row r="114" spans="13:15" x14ac:dyDescent="0.3">
      <c r="O114" s="9">
        <f t="shared" si="24"/>
        <v>0</v>
      </c>
    </row>
    <row r="115" spans="13:15" x14ac:dyDescent="0.3">
      <c r="O115" s="9">
        <f t="shared" si="24"/>
        <v>0</v>
      </c>
    </row>
    <row r="116" spans="13:15" x14ac:dyDescent="0.3">
      <c r="O116" s="9">
        <f t="shared" si="24"/>
        <v>0</v>
      </c>
    </row>
    <row r="117" spans="13:15" x14ac:dyDescent="0.3">
      <c r="O117" s="9">
        <f t="shared" si="24"/>
        <v>0</v>
      </c>
    </row>
    <row r="118" spans="13:15" x14ac:dyDescent="0.3">
      <c r="O118" s="9">
        <f t="shared" si="24"/>
        <v>0</v>
      </c>
    </row>
    <row r="119" spans="13:15" x14ac:dyDescent="0.3">
      <c r="O119" s="9">
        <f t="shared" si="24"/>
        <v>0</v>
      </c>
    </row>
    <row r="120" spans="13:15" x14ac:dyDescent="0.3">
      <c r="O120" s="9">
        <f t="shared" si="24"/>
        <v>0</v>
      </c>
    </row>
    <row r="121" spans="13:15" x14ac:dyDescent="0.3">
      <c r="O121" s="9">
        <f t="shared" si="24"/>
        <v>0</v>
      </c>
    </row>
    <row r="122" spans="13:15" x14ac:dyDescent="0.3">
      <c r="O122" s="9">
        <f t="shared" si="24"/>
        <v>0</v>
      </c>
    </row>
    <row r="123" spans="13:15" x14ac:dyDescent="0.3">
      <c r="O123" s="9">
        <f t="shared" si="24"/>
        <v>0</v>
      </c>
    </row>
    <row r="124" spans="13:15" x14ac:dyDescent="0.3">
      <c r="O124" s="9">
        <f t="shared" si="24"/>
        <v>0</v>
      </c>
    </row>
    <row r="125" spans="13:15" x14ac:dyDescent="0.3">
      <c r="O125" s="9">
        <f t="shared" si="24"/>
        <v>0</v>
      </c>
    </row>
    <row r="126" spans="13:15" x14ac:dyDescent="0.3">
      <c r="O126" s="9">
        <f t="shared" ref="O126:O136" si="25">M126-N126</f>
        <v>0</v>
      </c>
    </row>
    <row r="127" spans="13:15" x14ac:dyDescent="0.3">
      <c r="O127" s="9">
        <f t="shared" si="25"/>
        <v>0</v>
      </c>
    </row>
    <row r="128" spans="13:15" x14ac:dyDescent="0.3">
      <c r="O128" s="9">
        <f t="shared" si="25"/>
        <v>0</v>
      </c>
    </row>
    <row r="129" spans="15:15" x14ac:dyDescent="0.3">
      <c r="O129" s="9">
        <f t="shared" si="25"/>
        <v>0</v>
      </c>
    </row>
    <row r="130" spans="15:15" x14ac:dyDescent="0.3">
      <c r="O130" s="9">
        <f t="shared" si="25"/>
        <v>0</v>
      </c>
    </row>
    <row r="131" spans="15:15" x14ac:dyDescent="0.3">
      <c r="O131" s="9">
        <f t="shared" si="25"/>
        <v>0</v>
      </c>
    </row>
    <row r="132" spans="15:15" x14ac:dyDescent="0.3">
      <c r="O132" s="9">
        <f t="shared" si="25"/>
        <v>0</v>
      </c>
    </row>
    <row r="133" spans="15:15" x14ac:dyDescent="0.3">
      <c r="O133" s="9">
        <f t="shared" si="25"/>
        <v>0</v>
      </c>
    </row>
    <row r="134" spans="15:15" x14ac:dyDescent="0.3">
      <c r="O134" s="9">
        <f t="shared" si="25"/>
        <v>0</v>
      </c>
    </row>
    <row r="135" spans="15:15" x14ac:dyDescent="0.3">
      <c r="O135" s="9">
        <f t="shared" si="25"/>
        <v>0</v>
      </c>
    </row>
    <row r="136" spans="15:15" x14ac:dyDescent="0.3">
      <c r="O136" s="9">
        <f t="shared" si="25"/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C576-8AF2-4DB8-87A5-998220713B3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E578-A5C5-409D-91A5-54EA2C4B9B3A}">
  <dimension ref="A1:O35"/>
  <sheetViews>
    <sheetView workbookViewId="0">
      <selection activeCell="B8" sqref="B8"/>
    </sheetView>
  </sheetViews>
  <sheetFormatPr baseColWidth="10" defaultRowHeight="14.4" x14ac:dyDescent="0.3"/>
  <cols>
    <col min="1" max="1" width="42.6640625" bestFit="1" customWidth="1"/>
    <col min="2" max="2" width="19.33203125" bestFit="1" customWidth="1"/>
    <col min="3" max="3" width="19.33203125" customWidth="1"/>
    <col min="4" max="5" width="19.33203125" bestFit="1" customWidth="1"/>
    <col min="9" max="9" width="15" bestFit="1" customWidth="1"/>
    <col min="10" max="10" width="8.21875" bestFit="1" customWidth="1"/>
    <col min="12" max="12" width="14" bestFit="1" customWidth="1"/>
    <col min="13" max="13" width="12.5546875" bestFit="1" customWidth="1"/>
    <col min="14" max="14" width="14" bestFit="1" customWidth="1"/>
    <col min="15" max="15" width="12.88671875" bestFit="1" customWidth="1"/>
  </cols>
  <sheetData>
    <row r="1" spans="1:15" ht="18" x14ac:dyDescent="0.35">
      <c r="A1" s="14" t="s">
        <v>70</v>
      </c>
      <c r="B1" s="15">
        <v>370226939.83999997</v>
      </c>
      <c r="C1" s="18"/>
      <c r="I1" s="6">
        <v>10685536.49</v>
      </c>
      <c r="J1" s="3" t="s">
        <v>74</v>
      </c>
      <c r="L1" s="2">
        <v>15679840</v>
      </c>
      <c r="N1" s="2">
        <v>560000</v>
      </c>
      <c r="O1" t="s">
        <v>77</v>
      </c>
    </row>
    <row r="2" spans="1:15" ht="18" x14ac:dyDescent="0.35">
      <c r="A2" s="10" t="s">
        <v>80</v>
      </c>
      <c r="B2" s="11">
        <v>235542291.28</v>
      </c>
      <c r="C2" s="19"/>
      <c r="D2" s="11">
        <f>B3+B4+B7</f>
        <v>206081874.98730454</v>
      </c>
      <c r="E2" s="17"/>
      <c r="I2" s="6">
        <v>8210890.3600000003</v>
      </c>
      <c r="J2" s="3" t="s">
        <v>74</v>
      </c>
      <c r="L2" s="2">
        <v>9722987.5173045583</v>
      </c>
      <c r="N2" s="2">
        <v>1820000</v>
      </c>
      <c r="O2" t="s">
        <v>77</v>
      </c>
    </row>
    <row r="3" spans="1:15" ht="18" x14ac:dyDescent="0.35">
      <c r="A3" s="10" t="s">
        <v>71</v>
      </c>
      <c r="B3" s="11">
        <v>162071261.26999998</v>
      </c>
      <c r="C3" s="11"/>
      <c r="D3" s="11">
        <f>B3</f>
        <v>162071261.26999998</v>
      </c>
      <c r="E3" s="11">
        <v>5599991.6299999999</v>
      </c>
      <c r="I3" s="2">
        <v>11602453.07</v>
      </c>
      <c r="J3" s="3"/>
      <c r="N3" s="2">
        <v>1820000</v>
      </c>
      <c r="O3" t="s">
        <v>77</v>
      </c>
    </row>
    <row r="4" spans="1:15" ht="18" x14ac:dyDescent="0.35">
      <c r="A4" s="10" t="s">
        <v>75</v>
      </c>
      <c r="B4" s="11">
        <v>25402827.517304558</v>
      </c>
      <c r="C4" s="11"/>
      <c r="E4" s="11">
        <v>18526988.370000001</v>
      </c>
      <c r="I4" s="2">
        <v>9707807.6300000008</v>
      </c>
      <c r="N4" s="2">
        <v>14407786.199999999</v>
      </c>
      <c r="O4" t="s">
        <v>76</v>
      </c>
    </row>
    <row r="5" spans="1:15" ht="18" x14ac:dyDescent="0.35">
      <c r="A5" s="10" t="s">
        <v>195</v>
      </c>
      <c r="B5" s="11">
        <v>20790027.82</v>
      </c>
      <c r="C5" s="11"/>
      <c r="E5" s="11">
        <v>342664.06</v>
      </c>
      <c r="I5" s="2">
        <v>6396294.6100000003</v>
      </c>
      <c r="N5" s="2">
        <v>0</v>
      </c>
    </row>
    <row r="6" spans="1:15" ht="18" x14ac:dyDescent="0.35">
      <c r="A6" s="10" t="s">
        <v>105</v>
      </c>
      <c r="B6" s="11"/>
      <c r="C6" s="11"/>
      <c r="E6" s="11">
        <v>16582604.029999999</v>
      </c>
      <c r="I6" s="2"/>
      <c r="N6" s="2"/>
    </row>
    <row r="7" spans="1:15" ht="18" x14ac:dyDescent="0.35">
      <c r="A7" s="10" t="s">
        <v>73</v>
      </c>
      <c r="B7" s="11">
        <v>18607786.199999999</v>
      </c>
      <c r="C7" s="11"/>
      <c r="E7" s="20">
        <v>16930133.109999999</v>
      </c>
      <c r="I7" s="2">
        <v>14376277.289999999</v>
      </c>
    </row>
    <row r="8" spans="1:15" ht="18" x14ac:dyDescent="0.35">
      <c r="A8" s="10" t="s">
        <v>78</v>
      </c>
      <c r="B8" s="11">
        <v>96500000</v>
      </c>
      <c r="C8" s="11"/>
      <c r="D8" s="11">
        <v>42500000</v>
      </c>
      <c r="E8" s="11">
        <f>SUM(E3:E7)</f>
        <v>57982381.199999996</v>
      </c>
      <c r="I8" s="2">
        <v>12013555.039999999</v>
      </c>
    </row>
    <row r="9" spans="1:15" ht="18" x14ac:dyDescent="0.35">
      <c r="A9" s="10" t="s">
        <v>72</v>
      </c>
      <c r="B9" s="12"/>
      <c r="C9" s="12"/>
      <c r="E9" s="11">
        <f>D3-E8</f>
        <v>104088880.06999999</v>
      </c>
      <c r="I9" s="2">
        <v>14583655.289999999</v>
      </c>
    </row>
    <row r="10" spans="1:15" x14ac:dyDescent="0.3">
      <c r="I10" s="2">
        <v>14864561.289999999</v>
      </c>
    </row>
    <row r="11" spans="1:15" x14ac:dyDescent="0.3">
      <c r="I11" s="2">
        <v>288746</v>
      </c>
      <c r="N11" s="2"/>
    </row>
    <row r="12" spans="1:15" ht="18" x14ac:dyDescent="0.35">
      <c r="A12" s="13" t="s">
        <v>79</v>
      </c>
      <c r="B12" s="16">
        <f>B2-B3-B4-B5</f>
        <v>27278174.672695465</v>
      </c>
      <c r="C12" s="16"/>
      <c r="I12" s="2">
        <v>542800</v>
      </c>
      <c r="N12" s="2"/>
    </row>
    <row r="13" spans="1:15" x14ac:dyDescent="0.3">
      <c r="I13" s="2">
        <v>408703.07</v>
      </c>
      <c r="N13" s="2"/>
    </row>
    <row r="14" spans="1:15" x14ac:dyDescent="0.3">
      <c r="I14" s="5">
        <v>407599.93</v>
      </c>
      <c r="L14" s="7"/>
      <c r="N14" s="5"/>
    </row>
    <row r="15" spans="1:15" x14ac:dyDescent="0.3">
      <c r="I15" s="4">
        <f>SUM(I1:I14)</f>
        <v>104088880.06999999</v>
      </c>
      <c r="L15" s="4">
        <f>SUM(L1:L14)</f>
        <v>25402827.517304558</v>
      </c>
      <c r="N15" s="4">
        <f>SUM(N1:N14)</f>
        <v>18607786.199999999</v>
      </c>
    </row>
    <row r="20" spans="9:13" x14ac:dyDescent="0.3">
      <c r="M20" s="2"/>
    </row>
    <row r="21" spans="9:13" x14ac:dyDescent="0.3">
      <c r="I21" s="2">
        <v>1650000</v>
      </c>
    </row>
    <row r="22" spans="9:13" x14ac:dyDescent="0.3">
      <c r="I22" s="2">
        <v>1641325</v>
      </c>
      <c r="M22" s="1"/>
    </row>
    <row r="23" spans="9:13" x14ac:dyDescent="0.3">
      <c r="I23" s="2">
        <v>150000</v>
      </c>
    </row>
    <row r="24" spans="9:13" x14ac:dyDescent="0.3">
      <c r="I24" s="2">
        <v>258500.07</v>
      </c>
    </row>
    <row r="25" spans="9:13" x14ac:dyDescent="0.3">
      <c r="I25" s="2">
        <v>445196.93</v>
      </c>
    </row>
    <row r="26" spans="9:13" x14ac:dyDescent="0.3">
      <c r="I26" s="2">
        <v>0</v>
      </c>
    </row>
    <row r="27" spans="9:13" x14ac:dyDescent="0.3">
      <c r="I27" s="2">
        <v>46802.720000000001</v>
      </c>
    </row>
    <row r="28" spans="9:13" x14ac:dyDescent="0.3">
      <c r="I28" s="2">
        <v>130383.45</v>
      </c>
    </row>
    <row r="29" spans="9:13" x14ac:dyDescent="0.3">
      <c r="I29" s="2">
        <v>0</v>
      </c>
    </row>
    <row r="30" spans="9:13" x14ac:dyDescent="0.3">
      <c r="I30" s="2">
        <v>55254</v>
      </c>
    </row>
    <row r="31" spans="9:13" x14ac:dyDescent="0.3">
      <c r="I31" s="2">
        <v>68436.62</v>
      </c>
    </row>
    <row r="32" spans="9:13" x14ac:dyDescent="0.3">
      <c r="I32" s="2">
        <v>1304777.21</v>
      </c>
    </row>
    <row r="33" spans="9:9" x14ac:dyDescent="0.3">
      <c r="I33" s="2">
        <v>2600000</v>
      </c>
    </row>
    <row r="34" spans="9:9" x14ac:dyDescent="0.3">
      <c r="I34" s="2">
        <v>6057110.2000000002</v>
      </c>
    </row>
    <row r="35" spans="9:9" x14ac:dyDescent="0.3">
      <c r="I35" s="1">
        <f>SUM(I21:I34)</f>
        <v>14407786.199999999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RESUMEN POR TERRITORIO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COMARKY REYES</dc:creator>
  <cp:lastModifiedBy>COMARKY REYES</cp:lastModifiedBy>
  <dcterms:created xsi:type="dcterms:W3CDTF">2026-06-08T15:11:57Z</dcterms:created>
  <dcterms:modified xsi:type="dcterms:W3CDTF">2026-06-09T15:42:43Z</dcterms:modified>
</cp:coreProperties>
</file>