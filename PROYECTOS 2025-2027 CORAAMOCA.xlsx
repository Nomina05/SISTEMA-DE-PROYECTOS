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"/>
    </mc:Choice>
  </mc:AlternateContent>
  <xr:revisionPtr revIDLastSave="0" documentId="13_ncr:1_{EAA6AEC8-AE23-4950-B668-326DED1652C2}" xr6:coauthVersionLast="47" xr6:coauthVersionMax="47" xr10:uidLastSave="{00000000-0000-0000-0000-000000000000}"/>
  <bookViews>
    <workbookView xWindow="-108" yWindow="-108" windowWidth="23256" windowHeight="12576" tabRatio="505" xr2:uid="{D73FA4CF-373B-49F7-9031-9BEA20B3408E}"/>
  </bookViews>
  <sheets>
    <sheet name="Lista Proyectos Ejecucion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'Lista Proyectos Ejecucion'!$A$160:$FSY$193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56" i="3" l="1"/>
  <c r="U139" i="3"/>
  <c r="I9" i="3" l="1"/>
  <c r="J140" i="3" l="1"/>
  <c r="K139" i="3"/>
  <c r="H148" i="3"/>
  <c r="I148" i="3"/>
  <c r="M148" i="3"/>
  <c r="N148" i="3"/>
  <c r="O148" i="3"/>
  <c r="P148" i="3"/>
  <c r="Q148" i="3"/>
  <c r="R148" i="3"/>
  <c r="S148" i="3"/>
  <c r="T148" i="3"/>
  <c r="U148" i="3"/>
  <c r="J147" i="3"/>
  <c r="K147" i="3" s="1"/>
  <c r="L147" i="3"/>
  <c r="V147" i="3" s="1"/>
  <c r="K145" i="3"/>
  <c r="J146" i="3"/>
  <c r="L146" i="3"/>
  <c r="V146" i="3" s="1"/>
  <c r="L145" i="3"/>
  <c r="U160" i="3"/>
  <c r="U166" i="3" s="1"/>
  <c r="U125" i="3"/>
  <c r="M180" i="3"/>
  <c r="N180" i="3"/>
  <c r="O180" i="3"/>
  <c r="P180" i="3"/>
  <c r="Q180" i="3"/>
  <c r="R180" i="3"/>
  <c r="S180" i="3"/>
  <c r="T180" i="3"/>
  <c r="U180" i="3"/>
  <c r="J166" i="3"/>
  <c r="J183" i="3"/>
  <c r="M183" i="3"/>
  <c r="N183" i="3"/>
  <c r="O183" i="3"/>
  <c r="P183" i="3"/>
  <c r="Q183" i="3"/>
  <c r="R183" i="3"/>
  <c r="S183" i="3"/>
  <c r="T183" i="3"/>
  <c r="U183" i="3"/>
  <c r="H183" i="3"/>
  <c r="I180" i="3"/>
  <c r="J180" i="3"/>
  <c r="H180" i="3"/>
  <c r="J169" i="3"/>
  <c r="M169" i="3"/>
  <c r="N169" i="3"/>
  <c r="O169" i="3"/>
  <c r="P169" i="3"/>
  <c r="Q169" i="3"/>
  <c r="R169" i="3"/>
  <c r="S169" i="3"/>
  <c r="T169" i="3"/>
  <c r="U169" i="3"/>
  <c r="M166" i="3"/>
  <c r="N166" i="3"/>
  <c r="O166" i="3"/>
  <c r="P166" i="3"/>
  <c r="Q166" i="3"/>
  <c r="R166" i="3"/>
  <c r="S166" i="3"/>
  <c r="T166" i="3"/>
  <c r="H166" i="3"/>
  <c r="J192" i="3"/>
  <c r="K188" i="3"/>
  <c r="K187" i="3"/>
  <c r="K174" i="3"/>
  <c r="K175" i="3"/>
  <c r="K176" i="3"/>
  <c r="K177" i="3"/>
  <c r="K178" i="3"/>
  <c r="K179" i="3"/>
  <c r="K173" i="3"/>
  <c r="K162" i="3"/>
  <c r="K163" i="3"/>
  <c r="K164" i="3"/>
  <c r="K165" i="3"/>
  <c r="K167" i="3"/>
  <c r="U65" i="3"/>
  <c r="M192" i="3"/>
  <c r="N192" i="3"/>
  <c r="O192" i="3"/>
  <c r="P192" i="3"/>
  <c r="Q192" i="3"/>
  <c r="R192" i="3"/>
  <c r="S192" i="3"/>
  <c r="T192" i="3"/>
  <c r="U192" i="3"/>
  <c r="J189" i="3"/>
  <c r="J198" i="3" s="1"/>
  <c r="M189" i="3"/>
  <c r="M198" i="3" s="1"/>
  <c r="N189" i="3"/>
  <c r="N198" i="3" s="1"/>
  <c r="O189" i="3"/>
  <c r="O198" i="3" s="1"/>
  <c r="P189" i="3"/>
  <c r="P198" i="3" s="1"/>
  <c r="Q189" i="3"/>
  <c r="Q198" i="3" s="1"/>
  <c r="R189" i="3"/>
  <c r="R198" i="3" s="1"/>
  <c r="S189" i="3"/>
  <c r="S198" i="3" s="1"/>
  <c r="T189" i="3"/>
  <c r="T198" i="3" s="1"/>
  <c r="U189" i="3"/>
  <c r="U198" i="3" s="1"/>
  <c r="L148" i="3" l="1"/>
  <c r="W147" i="3"/>
  <c r="X147" i="3" s="1"/>
  <c r="W146" i="3"/>
  <c r="K146" i="3"/>
  <c r="K148" i="3"/>
  <c r="K150" i="3" s="1"/>
  <c r="V145" i="3"/>
  <c r="W145" i="3" s="1"/>
  <c r="X145" i="3" s="1"/>
  <c r="J148" i="3"/>
  <c r="J170" i="3"/>
  <c r="T170" i="3"/>
  <c r="P170" i="3"/>
  <c r="Q170" i="3"/>
  <c r="M170" i="3"/>
  <c r="U170" i="3"/>
  <c r="S170" i="3"/>
  <c r="R170" i="3"/>
  <c r="N170" i="3"/>
  <c r="O170" i="3"/>
  <c r="K180" i="3"/>
  <c r="U184" i="3"/>
  <c r="Q184" i="3"/>
  <c r="M184" i="3"/>
  <c r="S184" i="3"/>
  <c r="O184" i="3"/>
  <c r="J184" i="3"/>
  <c r="R184" i="3"/>
  <c r="N184" i="3"/>
  <c r="T184" i="3"/>
  <c r="P184" i="3"/>
  <c r="H184" i="3"/>
  <c r="K189" i="3"/>
  <c r="K198" i="3" s="1"/>
  <c r="V148" i="3" l="1"/>
  <c r="P201" i="3"/>
  <c r="T201" i="3"/>
  <c r="J201" i="3"/>
  <c r="X146" i="3"/>
  <c r="X148" i="3" s="1"/>
  <c r="W148" i="3"/>
  <c r="Q201" i="3"/>
  <c r="M201" i="3"/>
  <c r="O201" i="3"/>
  <c r="N201" i="3"/>
  <c r="S201" i="3"/>
  <c r="R201" i="3"/>
  <c r="U201" i="3"/>
  <c r="M193" i="3"/>
  <c r="O193" i="3"/>
  <c r="T193" i="3"/>
  <c r="T195" i="3" s="1"/>
  <c r="T197" i="3" s="1"/>
  <c r="U193" i="3"/>
  <c r="I189" i="3"/>
  <c r="I198" i="3" s="1"/>
  <c r="J193" i="3"/>
  <c r="N193" i="3"/>
  <c r="R193" i="3"/>
  <c r="S193" i="3"/>
  <c r="H192" i="3"/>
  <c r="H189" i="3"/>
  <c r="H198" i="3" s="1"/>
  <c r="K125" i="3"/>
  <c r="K122" i="3"/>
  <c r="K119" i="3"/>
  <c r="K115" i="3"/>
  <c r="K112" i="3"/>
  <c r="K113" i="3"/>
  <c r="K111" i="3"/>
  <c r="K107" i="3"/>
  <c r="K106" i="3"/>
  <c r="K104" i="3"/>
  <c r="K97" i="3"/>
  <c r="K98" i="3"/>
  <c r="K99" i="3"/>
  <c r="K100" i="3"/>
  <c r="K96" i="3"/>
  <c r="K94" i="3"/>
  <c r="K92" i="3"/>
  <c r="K93" i="3"/>
  <c r="K91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72" i="3"/>
  <c r="K66" i="3"/>
  <c r="K67" i="3"/>
  <c r="K68" i="3"/>
  <c r="K65" i="3"/>
  <c r="K59" i="3"/>
  <c r="K60" i="3"/>
  <c r="K61" i="3"/>
  <c r="K62" i="3"/>
  <c r="K63" i="3"/>
  <c r="K58" i="3"/>
  <c r="I116" i="3"/>
  <c r="J116" i="3"/>
  <c r="M116" i="3"/>
  <c r="N116" i="3"/>
  <c r="O116" i="3"/>
  <c r="P116" i="3"/>
  <c r="Q116" i="3"/>
  <c r="R116" i="3"/>
  <c r="S116" i="3"/>
  <c r="T116" i="3"/>
  <c r="H116" i="3"/>
  <c r="I114" i="3"/>
  <c r="J114" i="3"/>
  <c r="M114" i="3"/>
  <c r="N114" i="3"/>
  <c r="O114" i="3"/>
  <c r="P114" i="3"/>
  <c r="Q114" i="3"/>
  <c r="R114" i="3"/>
  <c r="S114" i="3"/>
  <c r="T114" i="3"/>
  <c r="H114" i="3"/>
  <c r="I108" i="3"/>
  <c r="J108" i="3"/>
  <c r="M108" i="3"/>
  <c r="N108" i="3"/>
  <c r="O108" i="3"/>
  <c r="P108" i="3"/>
  <c r="Q108" i="3"/>
  <c r="R108" i="3"/>
  <c r="S108" i="3"/>
  <c r="T108" i="3"/>
  <c r="H108" i="3"/>
  <c r="I105" i="3"/>
  <c r="J105" i="3"/>
  <c r="M105" i="3"/>
  <c r="N105" i="3"/>
  <c r="O105" i="3"/>
  <c r="P105" i="3"/>
  <c r="Q105" i="3"/>
  <c r="R105" i="3"/>
  <c r="S105" i="3"/>
  <c r="T105" i="3"/>
  <c r="H105" i="3"/>
  <c r="I101" i="3"/>
  <c r="J101" i="3"/>
  <c r="M101" i="3"/>
  <c r="N101" i="3"/>
  <c r="O101" i="3"/>
  <c r="P101" i="3"/>
  <c r="Q101" i="3"/>
  <c r="R101" i="3"/>
  <c r="S101" i="3"/>
  <c r="T101" i="3"/>
  <c r="H101" i="3"/>
  <c r="I95" i="3"/>
  <c r="J95" i="3"/>
  <c r="M95" i="3"/>
  <c r="N95" i="3"/>
  <c r="O95" i="3"/>
  <c r="P95" i="3"/>
  <c r="Q95" i="3"/>
  <c r="R95" i="3"/>
  <c r="S95" i="3"/>
  <c r="T95" i="3"/>
  <c r="H95" i="3"/>
  <c r="I89" i="3"/>
  <c r="J89" i="3"/>
  <c r="M89" i="3"/>
  <c r="N89" i="3"/>
  <c r="O89" i="3"/>
  <c r="P89" i="3"/>
  <c r="Q89" i="3"/>
  <c r="R89" i="3"/>
  <c r="S89" i="3"/>
  <c r="T89" i="3"/>
  <c r="H89" i="3"/>
  <c r="I69" i="3"/>
  <c r="J69" i="3"/>
  <c r="M69" i="3"/>
  <c r="N69" i="3"/>
  <c r="O69" i="3"/>
  <c r="P69" i="3"/>
  <c r="Q69" i="3"/>
  <c r="R69" i="3"/>
  <c r="S69" i="3"/>
  <c r="T69" i="3"/>
  <c r="H69" i="3"/>
  <c r="I64" i="3"/>
  <c r="J64" i="3"/>
  <c r="M64" i="3"/>
  <c r="N64" i="3"/>
  <c r="O64" i="3"/>
  <c r="P64" i="3"/>
  <c r="Q64" i="3"/>
  <c r="R64" i="3"/>
  <c r="S64" i="3"/>
  <c r="T64" i="3"/>
  <c r="H64" i="3"/>
  <c r="I55" i="3"/>
  <c r="J55" i="3"/>
  <c r="M55" i="3"/>
  <c r="N55" i="3"/>
  <c r="O55" i="3"/>
  <c r="P55" i="3"/>
  <c r="Q55" i="3"/>
  <c r="R55" i="3"/>
  <c r="S55" i="3"/>
  <c r="T55" i="3"/>
  <c r="I49" i="3"/>
  <c r="J49" i="3"/>
  <c r="M49" i="3"/>
  <c r="N49" i="3"/>
  <c r="O49" i="3"/>
  <c r="P49" i="3"/>
  <c r="Q49" i="3"/>
  <c r="R49" i="3"/>
  <c r="S49" i="3"/>
  <c r="T49" i="3"/>
  <c r="H49" i="3"/>
  <c r="I126" i="3"/>
  <c r="J126" i="3"/>
  <c r="M126" i="3"/>
  <c r="N126" i="3"/>
  <c r="O126" i="3"/>
  <c r="P126" i="3"/>
  <c r="Q126" i="3"/>
  <c r="R126" i="3"/>
  <c r="S126" i="3"/>
  <c r="T126" i="3"/>
  <c r="H126" i="3"/>
  <c r="H123" i="3"/>
  <c r="I120" i="3"/>
  <c r="J120" i="3"/>
  <c r="M120" i="3"/>
  <c r="N120" i="3"/>
  <c r="O120" i="3"/>
  <c r="P120" i="3"/>
  <c r="Q120" i="3"/>
  <c r="R120" i="3"/>
  <c r="S120" i="3"/>
  <c r="T120" i="3"/>
  <c r="H120" i="3"/>
  <c r="H55" i="3"/>
  <c r="H170" i="3"/>
  <c r="K126" i="3" l="1"/>
  <c r="K116" i="3"/>
  <c r="K120" i="3"/>
  <c r="K105" i="3"/>
  <c r="H201" i="3"/>
  <c r="U195" i="3"/>
  <c r="U197" i="3" s="1"/>
  <c r="M195" i="3"/>
  <c r="M197" i="3" s="1"/>
  <c r="H193" i="3"/>
  <c r="H195" i="3" s="1"/>
  <c r="H197" i="3" s="1"/>
  <c r="J195" i="3"/>
  <c r="J197" i="3" s="1"/>
  <c r="J117" i="3"/>
  <c r="S195" i="3"/>
  <c r="S197" i="3" s="1"/>
  <c r="O195" i="3"/>
  <c r="O197" i="3" s="1"/>
  <c r="R195" i="3"/>
  <c r="R197" i="3" s="1"/>
  <c r="N195" i="3"/>
  <c r="N197" i="3" s="1"/>
  <c r="Q193" i="3"/>
  <c r="Q195" i="3" s="1"/>
  <c r="Q197" i="3" s="1"/>
  <c r="P193" i="3"/>
  <c r="P195" i="3" s="1"/>
  <c r="P197" i="3" s="1"/>
  <c r="I117" i="3"/>
  <c r="R70" i="3"/>
  <c r="N70" i="3"/>
  <c r="H109" i="3"/>
  <c r="Q109" i="3"/>
  <c r="M109" i="3"/>
  <c r="S117" i="3"/>
  <c r="T56" i="3"/>
  <c r="P56" i="3"/>
  <c r="J56" i="3"/>
  <c r="S56" i="3"/>
  <c r="O56" i="3"/>
  <c r="I56" i="3"/>
  <c r="Q56" i="3"/>
  <c r="J129" i="3"/>
  <c r="T70" i="3"/>
  <c r="P70" i="3"/>
  <c r="J70" i="3"/>
  <c r="H102" i="3"/>
  <c r="S109" i="3"/>
  <c r="O109" i="3"/>
  <c r="I109" i="3"/>
  <c r="H117" i="3"/>
  <c r="M56" i="3"/>
  <c r="H70" i="3"/>
  <c r="K69" i="3"/>
  <c r="K101" i="3"/>
  <c r="S70" i="3"/>
  <c r="O70" i="3"/>
  <c r="T102" i="3"/>
  <c r="P102" i="3"/>
  <c r="J102" i="3"/>
  <c r="R109" i="3"/>
  <c r="N109" i="3"/>
  <c r="Q70" i="3"/>
  <c r="M70" i="3"/>
  <c r="S102" i="3"/>
  <c r="O102" i="3"/>
  <c r="I102" i="3"/>
  <c r="T109" i="3"/>
  <c r="P109" i="3"/>
  <c r="J109" i="3"/>
  <c r="T117" i="3"/>
  <c r="P117" i="3"/>
  <c r="O117" i="3"/>
  <c r="K64" i="3"/>
  <c r="Q102" i="3"/>
  <c r="M102" i="3"/>
  <c r="R117" i="3"/>
  <c r="N117" i="3"/>
  <c r="Q117" i="3"/>
  <c r="M117" i="3"/>
  <c r="R56" i="3"/>
  <c r="N56" i="3"/>
  <c r="I70" i="3"/>
  <c r="R102" i="3"/>
  <c r="N102" i="3"/>
  <c r="K108" i="3"/>
  <c r="K114" i="3"/>
  <c r="K95" i="3"/>
  <c r="K89" i="3"/>
  <c r="H56" i="3"/>
  <c r="I123" i="3"/>
  <c r="J123" i="3"/>
  <c r="J130" i="3" s="1"/>
  <c r="J132" i="3" s="1"/>
  <c r="K123" i="3"/>
  <c r="M123" i="3"/>
  <c r="N123" i="3"/>
  <c r="O123" i="3"/>
  <c r="P123" i="3"/>
  <c r="Q123" i="3"/>
  <c r="R123" i="3"/>
  <c r="S123" i="3"/>
  <c r="T123" i="3"/>
  <c r="K70" i="3" l="1"/>
  <c r="R35" i="3"/>
  <c r="P35" i="3"/>
  <c r="M35" i="3"/>
  <c r="O35" i="3"/>
  <c r="T35" i="3"/>
  <c r="S35" i="3"/>
  <c r="N35" i="3"/>
  <c r="Q35" i="3"/>
  <c r="J35" i="3"/>
  <c r="K117" i="3"/>
  <c r="K109" i="3"/>
  <c r="K102" i="3"/>
  <c r="K51" i="3"/>
  <c r="K52" i="3"/>
  <c r="K53" i="3"/>
  <c r="K54" i="3"/>
  <c r="K50" i="3"/>
  <c r="K40" i="3"/>
  <c r="K41" i="3"/>
  <c r="K42" i="3"/>
  <c r="K43" i="3"/>
  <c r="K44" i="3"/>
  <c r="K45" i="3"/>
  <c r="K46" i="3"/>
  <c r="K47" i="3"/>
  <c r="K48" i="3"/>
  <c r="K39" i="3"/>
  <c r="K22" i="3"/>
  <c r="K49" i="3" l="1"/>
  <c r="K55" i="3"/>
  <c r="K56" i="3" l="1"/>
  <c r="K35" i="3" s="1"/>
  <c r="K23" i="3" l="1"/>
  <c r="W13" i="3"/>
  <c r="W14" i="3"/>
  <c r="W15" i="3"/>
  <c r="M16" i="3"/>
  <c r="K5" i="3"/>
  <c r="K6" i="3"/>
  <c r="K8" i="3"/>
  <c r="L4" i="3"/>
  <c r="K4" i="3"/>
  <c r="U4" i="3"/>
  <c r="L139" i="3"/>
  <c r="V139" i="3" s="1"/>
  <c r="W139" i="3" s="1"/>
  <c r="X139" i="3" s="1"/>
  <c r="U40" i="3"/>
  <c r="U41" i="3"/>
  <c r="U42" i="3"/>
  <c r="U43" i="3"/>
  <c r="U44" i="3"/>
  <c r="U45" i="3"/>
  <c r="U46" i="3"/>
  <c r="U47" i="3"/>
  <c r="U48" i="3"/>
  <c r="U50" i="3"/>
  <c r="U51" i="3"/>
  <c r="U52" i="3"/>
  <c r="U53" i="3"/>
  <c r="U54" i="3"/>
  <c r="U58" i="3"/>
  <c r="U59" i="3"/>
  <c r="U60" i="3"/>
  <c r="U61" i="3"/>
  <c r="U62" i="3"/>
  <c r="U63" i="3"/>
  <c r="U66" i="3"/>
  <c r="U67" i="3"/>
  <c r="U68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91" i="3"/>
  <c r="U92" i="3"/>
  <c r="U93" i="3"/>
  <c r="U94" i="3"/>
  <c r="U96" i="3"/>
  <c r="U97" i="3"/>
  <c r="U98" i="3"/>
  <c r="U99" i="3"/>
  <c r="U100" i="3"/>
  <c r="U104" i="3"/>
  <c r="U105" i="3" s="1"/>
  <c r="U106" i="3"/>
  <c r="U107" i="3"/>
  <c r="U111" i="3"/>
  <c r="U112" i="3"/>
  <c r="U113" i="3"/>
  <c r="U115" i="3"/>
  <c r="U116" i="3" s="1"/>
  <c r="U119" i="3"/>
  <c r="U120" i="3" s="1"/>
  <c r="U122" i="3"/>
  <c r="U123" i="3" s="1"/>
  <c r="U126" i="3"/>
  <c r="L40" i="3"/>
  <c r="L41" i="3"/>
  <c r="L42" i="3"/>
  <c r="L43" i="3"/>
  <c r="L44" i="3"/>
  <c r="L45" i="3"/>
  <c r="L46" i="3"/>
  <c r="L47" i="3"/>
  <c r="L48" i="3"/>
  <c r="L50" i="3"/>
  <c r="L51" i="3"/>
  <c r="L52" i="3"/>
  <c r="L53" i="3"/>
  <c r="L54" i="3"/>
  <c r="L58" i="3"/>
  <c r="L59" i="3"/>
  <c r="L60" i="3"/>
  <c r="L61" i="3"/>
  <c r="L62" i="3"/>
  <c r="L63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91" i="3"/>
  <c r="L92" i="3"/>
  <c r="L93" i="3"/>
  <c r="L94" i="3"/>
  <c r="L96" i="3"/>
  <c r="L97" i="3"/>
  <c r="L98" i="3"/>
  <c r="L99" i="3"/>
  <c r="L100" i="3"/>
  <c r="L104" i="3"/>
  <c r="L105" i="3" s="1"/>
  <c r="L106" i="3"/>
  <c r="L107" i="3"/>
  <c r="L111" i="3"/>
  <c r="L112" i="3"/>
  <c r="L113" i="3"/>
  <c r="L115" i="3"/>
  <c r="L116" i="3" s="1"/>
  <c r="L119" i="3"/>
  <c r="L120" i="3" s="1"/>
  <c r="L122" i="3"/>
  <c r="L123" i="3" s="1"/>
  <c r="L125" i="3"/>
  <c r="L126" i="3" s="1"/>
  <c r="U39" i="3"/>
  <c r="L39" i="3"/>
  <c r="L23" i="3"/>
  <c r="U23" i="3"/>
  <c r="U19" i="3"/>
  <c r="L19" i="3"/>
  <c r="J24" i="3"/>
  <c r="M24" i="3"/>
  <c r="N24" i="3"/>
  <c r="O24" i="3"/>
  <c r="P24" i="3"/>
  <c r="Q24" i="3"/>
  <c r="R24" i="3"/>
  <c r="S24" i="3"/>
  <c r="T24" i="3"/>
  <c r="I24" i="3"/>
  <c r="M20" i="3"/>
  <c r="N20" i="3"/>
  <c r="O20" i="3"/>
  <c r="P20" i="3"/>
  <c r="Q20" i="3"/>
  <c r="R20" i="3"/>
  <c r="S20" i="3"/>
  <c r="T20" i="3"/>
  <c r="J20" i="3"/>
  <c r="N16" i="3"/>
  <c r="U22" i="3"/>
  <c r="L22" i="3"/>
  <c r="U18" i="3"/>
  <c r="L18" i="3"/>
  <c r="O16" i="3"/>
  <c r="P16" i="3"/>
  <c r="Q16" i="3"/>
  <c r="R16" i="3"/>
  <c r="S16" i="3"/>
  <c r="T16" i="3"/>
  <c r="U13" i="3"/>
  <c r="U14" i="3"/>
  <c r="U15" i="3"/>
  <c r="U12" i="3"/>
  <c r="J9" i="3"/>
  <c r="U5" i="3"/>
  <c r="U6" i="3"/>
  <c r="J16" i="3"/>
  <c r="L13" i="3"/>
  <c r="L14" i="3"/>
  <c r="L15" i="3"/>
  <c r="L12" i="3"/>
  <c r="L5" i="3"/>
  <c r="L6" i="3"/>
  <c r="I35" i="3"/>
  <c r="L167" i="3"/>
  <c r="V167" i="3" s="1"/>
  <c r="L160" i="3"/>
  <c r="V160" i="3" s="1"/>
  <c r="L161" i="3"/>
  <c r="V161" i="3" s="1"/>
  <c r="L168" i="3"/>
  <c r="V168" i="3" s="1"/>
  <c r="L163" i="3"/>
  <c r="V163" i="3" s="1"/>
  <c r="W163" i="3" s="1"/>
  <c r="X163" i="3" s="1"/>
  <c r="L164" i="3"/>
  <c r="V164" i="3" s="1"/>
  <c r="W164" i="3" s="1"/>
  <c r="X164" i="3" s="1"/>
  <c r="L165" i="3"/>
  <c r="V165" i="3" s="1"/>
  <c r="W165" i="3" s="1"/>
  <c r="X165" i="3" s="1"/>
  <c r="L162" i="3"/>
  <c r="V162" i="3" s="1"/>
  <c r="W162" i="3" s="1"/>
  <c r="X162" i="3" s="1"/>
  <c r="L173" i="3"/>
  <c r="V173" i="3" s="1"/>
  <c r="L174" i="3"/>
  <c r="V174" i="3" s="1"/>
  <c r="W174" i="3" s="1"/>
  <c r="X174" i="3" s="1"/>
  <c r="L175" i="3"/>
  <c r="V175" i="3" s="1"/>
  <c r="W175" i="3" s="1"/>
  <c r="X175" i="3" s="1"/>
  <c r="L176" i="3"/>
  <c r="V176" i="3" s="1"/>
  <c r="W176" i="3" s="1"/>
  <c r="X176" i="3" s="1"/>
  <c r="L177" i="3"/>
  <c r="V177" i="3" s="1"/>
  <c r="W177" i="3" s="1"/>
  <c r="X177" i="3" s="1"/>
  <c r="L181" i="3"/>
  <c r="V181" i="3" s="1"/>
  <c r="L182" i="3"/>
  <c r="V182" i="3" s="1"/>
  <c r="L178" i="3"/>
  <c r="V178" i="3" s="1"/>
  <c r="W178" i="3" s="1"/>
  <c r="X178" i="3" s="1"/>
  <c r="L179" i="3"/>
  <c r="V179" i="3" s="1"/>
  <c r="W179" i="3" s="1"/>
  <c r="X179" i="3" s="1"/>
  <c r="L190" i="3"/>
  <c r="L187" i="3"/>
  <c r="V187" i="3" s="1"/>
  <c r="L188" i="3"/>
  <c r="V188" i="3" s="1"/>
  <c r="W188" i="3" s="1"/>
  <c r="X188" i="3" s="1"/>
  <c r="L191" i="3"/>
  <c r="V191" i="3" s="1"/>
  <c r="H24" i="3"/>
  <c r="H20" i="3"/>
  <c r="H16" i="3"/>
  <c r="I168" i="3"/>
  <c r="I161" i="3"/>
  <c r="I160" i="3"/>
  <c r="H35" i="3"/>
  <c r="I19" i="3"/>
  <c r="K19" i="3" s="1"/>
  <c r="I18" i="3"/>
  <c r="K18" i="3" s="1"/>
  <c r="I15" i="3"/>
  <c r="K15" i="3" s="1"/>
  <c r="X15" i="3" s="1"/>
  <c r="I14" i="3"/>
  <c r="K14" i="3" s="1"/>
  <c r="X14" i="3" s="1"/>
  <c r="I13" i="3"/>
  <c r="K13" i="3" s="1"/>
  <c r="I12" i="3"/>
  <c r="K12" i="3" s="1"/>
  <c r="H8" i="3"/>
  <c r="X13" i="3" l="1"/>
  <c r="V6" i="3"/>
  <c r="W6" i="3" s="1"/>
  <c r="X6" i="3" s="1"/>
  <c r="V183" i="3"/>
  <c r="W173" i="3"/>
  <c r="V180" i="3"/>
  <c r="K24" i="3"/>
  <c r="L192" i="3"/>
  <c r="V190" i="3"/>
  <c r="V192" i="3" s="1"/>
  <c r="W187" i="3"/>
  <c r="K161" i="3"/>
  <c r="W161" i="3"/>
  <c r="W160" i="3"/>
  <c r="X160" i="3" s="1"/>
  <c r="V166" i="3"/>
  <c r="I169" i="3"/>
  <c r="W168" i="3"/>
  <c r="W167" i="3"/>
  <c r="X167" i="3" s="1"/>
  <c r="V169" i="3"/>
  <c r="V39" i="3"/>
  <c r="W39" i="3" s="1"/>
  <c r="X39" i="3" s="1"/>
  <c r="L180" i="3"/>
  <c r="L183" i="3"/>
  <c r="L169" i="3"/>
  <c r="L166" i="3"/>
  <c r="K160" i="3"/>
  <c r="I166" i="3"/>
  <c r="I182" i="3"/>
  <c r="K168" i="3"/>
  <c r="K169" i="3" s="1"/>
  <c r="Q26" i="3"/>
  <c r="L189" i="3"/>
  <c r="V189" i="3" s="1"/>
  <c r="U95" i="3"/>
  <c r="L69" i="3"/>
  <c r="U114" i="3"/>
  <c r="U117" i="3" s="1"/>
  <c r="U55" i="3"/>
  <c r="U89" i="3"/>
  <c r="U69" i="3"/>
  <c r="L49" i="3"/>
  <c r="L64" i="3"/>
  <c r="U108" i="3"/>
  <c r="U109" i="3" s="1"/>
  <c r="L89" i="3"/>
  <c r="U101" i="3"/>
  <c r="L108" i="3"/>
  <c r="L109" i="3" s="1"/>
  <c r="U49" i="3"/>
  <c r="L114" i="3"/>
  <c r="L117" i="3" s="1"/>
  <c r="L101" i="3"/>
  <c r="L95" i="3"/>
  <c r="L55" i="3"/>
  <c r="U64" i="3"/>
  <c r="J26" i="3"/>
  <c r="T26" i="3"/>
  <c r="P26" i="3"/>
  <c r="H26" i="3"/>
  <c r="K20" i="3"/>
  <c r="S26" i="3"/>
  <c r="O26" i="3"/>
  <c r="M26" i="3"/>
  <c r="R26" i="3"/>
  <c r="N26" i="3"/>
  <c r="V122" i="3"/>
  <c r="V113" i="3"/>
  <c r="W113" i="3" s="1"/>
  <c r="X113" i="3" s="1"/>
  <c r="V106" i="3"/>
  <c r="V98" i="3"/>
  <c r="W98" i="3" s="1"/>
  <c r="X98" i="3" s="1"/>
  <c r="V93" i="3"/>
  <c r="W93" i="3" s="1"/>
  <c r="X93" i="3" s="1"/>
  <c r="V87" i="3"/>
  <c r="W87" i="3" s="1"/>
  <c r="X87" i="3" s="1"/>
  <c r="V83" i="3"/>
  <c r="W83" i="3" s="1"/>
  <c r="X83" i="3" s="1"/>
  <c r="V79" i="3"/>
  <c r="W79" i="3" s="1"/>
  <c r="X79" i="3" s="1"/>
  <c r="V75" i="3"/>
  <c r="W75" i="3" s="1"/>
  <c r="X75" i="3" s="1"/>
  <c r="V68" i="3"/>
  <c r="W68" i="3" s="1"/>
  <c r="X68" i="3" s="1"/>
  <c r="V63" i="3"/>
  <c r="W63" i="3" s="1"/>
  <c r="X63" i="3" s="1"/>
  <c r="V59" i="3"/>
  <c r="W59" i="3" s="1"/>
  <c r="X59" i="3" s="1"/>
  <c r="V52" i="3"/>
  <c r="W52" i="3" s="1"/>
  <c r="X52" i="3" s="1"/>
  <c r="V47" i="3"/>
  <c r="W47" i="3" s="1"/>
  <c r="X47" i="3" s="1"/>
  <c r="V43" i="3"/>
  <c r="W43" i="3" s="1"/>
  <c r="X43" i="3" s="1"/>
  <c r="V4" i="3"/>
  <c r="W4" i="3" s="1"/>
  <c r="X4" i="3" s="1"/>
  <c r="V19" i="3"/>
  <c r="W19" i="3" s="1"/>
  <c r="X19" i="3" s="1"/>
  <c r="V115" i="3"/>
  <c r="V116" i="3" s="1"/>
  <c r="V107" i="3"/>
  <c r="W107" i="3" s="1"/>
  <c r="X107" i="3" s="1"/>
  <c r="V99" i="3"/>
  <c r="W99" i="3" s="1"/>
  <c r="X99" i="3" s="1"/>
  <c r="V94" i="3"/>
  <c r="W94" i="3" s="1"/>
  <c r="X94" i="3" s="1"/>
  <c r="V88" i="3"/>
  <c r="W88" i="3" s="1"/>
  <c r="X88" i="3" s="1"/>
  <c r="V84" i="3"/>
  <c r="W84" i="3" s="1"/>
  <c r="X84" i="3" s="1"/>
  <c r="V80" i="3"/>
  <c r="W80" i="3" s="1"/>
  <c r="X80" i="3" s="1"/>
  <c r="V76" i="3"/>
  <c r="W76" i="3" s="1"/>
  <c r="X76" i="3" s="1"/>
  <c r="V72" i="3"/>
  <c r="V65" i="3"/>
  <c r="V60" i="3"/>
  <c r="W60" i="3" s="1"/>
  <c r="X60" i="3" s="1"/>
  <c r="V53" i="3"/>
  <c r="W53" i="3" s="1"/>
  <c r="X53" i="3" s="1"/>
  <c r="V48" i="3"/>
  <c r="W48" i="3" s="1"/>
  <c r="X48" i="3" s="1"/>
  <c r="V44" i="3"/>
  <c r="W44" i="3" s="1"/>
  <c r="X44" i="3" s="1"/>
  <c r="V40" i="3"/>
  <c r="W40" i="3" s="1"/>
  <c r="X40" i="3" s="1"/>
  <c r="K16" i="3"/>
  <c r="L16" i="3"/>
  <c r="V22" i="3"/>
  <c r="W22" i="3" s="1"/>
  <c r="X22" i="3" s="1"/>
  <c r="V12" i="3"/>
  <c r="W12" i="3" s="1"/>
  <c r="W16" i="3" s="1"/>
  <c r="V112" i="3"/>
  <c r="W112" i="3" s="1"/>
  <c r="X112" i="3" s="1"/>
  <c r="V104" i="3"/>
  <c r="V105" i="3" s="1"/>
  <c r="V97" i="3"/>
  <c r="W97" i="3" s="1"/>
  <c r="X97" i="3" s="1"/>
  <c r="V92" i="3"/>
  <c r="W92" i="3" s="1"/>
  <c r="X92" i="3" s="1"/>
  <c r="V86" i="3"/>
  <c r="W86" i="3" s="1"/>
  <c r="X86" i="3" s="1"/>
  <c r="V82" i="3"/>
  <c r="W82" i="3" s="1"/>
  <c r="X82" i="3" s="1"/>
  <c r="V78" i="3"/>
  <c r="W78" i="3" s="1"/>
  <c r="X78" i="3" s="1"/>
  <c r="V74" i="3"/>
  <c r="W74" i="3" s="1"/>
  <c r="X74" i="3" s="1"/>
  <c r="V67" i="3"/>
  <c r="W67" i="3" s="1"/>
  <c r="X67" i="3" s="1"/>
  <c r="V62" i="3"/>
  <c r="W62" i="3" s="1"/>
  <c r="X62" i="3" s="1"/>
  <c r="V58" i="3"/>
  <c r="V51" i="3"/>
  <c r="W51" i="3" s="1"/>
  <c r="X51" i="3" s="1"/>
  <c r="V46" i="3"/>
  <c r="W46" i="3" s="1"/>
  <c r="X46" i="3" s="1"/>
  <c r="V42" i="3"/>
  <c r="W42" i="3" s="1"/>
  <c r="X42" i="3" s="1"/>
  <c r="V125" i="3"/>
  <c r="V126" i="3" s="1"/>
  <c r="V119" i="3"/>
  <c r="V100" i="3"/>
  <c r="W100" i="3" s="1"/>
  <c r="X100" i="3" s="1"/>
  <c r="V96" i="3"/>
  <c r="V85" i="3"/>
  <c r="W85" i="3" s="1"/>
  <c r="X85" i="3" s="1"/>
  <c r="V81" i="3"/>
  <c r="W81" i="3" s="1"/>
  <c r="X81" i="3" s="1"/>
  <c r="V77" i="3"/>
  <c r="W77" i="3" s="1"/>
  <c r="X77" i="3" s="1"/>
  <c r="V73" i="3"/>
  <c r="W73" i="3" s="1"/>
  <c r="X73" i="3" s="1"/>
  <c r="V66" i="3"/>
  <c r="W66" i="3" s="1"/>
  <c r="X66" i="3" s="1"/>
  <c r="V61" i="3"/>
  <c r="W61" i="3" s="1"/>
  <c r="X61" i="3" s="1"/>
  <c r="V54" i="3"/>
  <c r="W54" i="3" s="1"/>
  <c r="X54" i="3" s="1"/>
  <c r="V50" i="3"/>
  <c r="V45" i="3"/>
  <c r="W45" i="3" s="1"/>
  <c r="X45" i="3" s="1"/>
  <c r="V41" i="3"/>
  <c r="W41" i="3" s="1"/>
  <c r="X41" i="3" s="1"/>
  <c r="I20" i="3"/>
  <c r="U16" i="3"/>
  <c r="V5" i="3"/>
  <c r="W5" i="3" s="1"/>
  <c r="X5" i="3" s="1"/>
  <c r="V91" i="3"/>
  <c r="V23" i="3"/>
  <c r="W23" i="3" s="1"/>
  <c r="X23" i="3" s="1"/>
  <c r="V111" i="3"/>
  <c r="I16" i="3"/>
  <c r="U20" i="3"/>
  <c r="V18" i="3"/>
  <c r="L20" i="3"/>
  <c r="L24" i="3"/>
  <c r="U24" i="3"/>
  <c r="H9" i="3"/>
  <c r="I190" i="3"/>
  <c r="I181" i="3"/>
  <c r="W181" i="3" s="1"/>
  <c r="I191" i="3"/>
  <c r="V184" i="3" l="1"/>
  <c r="X168" i="3"/>
  <c r="X169" i="3" s="1"/>
  <c r="X161" i="3"/>
  <c r="X166" i="3" s="1"/>
  <c r="K182" i="3"/>
  <c r="W182" i="3"/>
  <c r="W183" i="3" s="1"/>
  <c r="W189" i="3"/>
  <c r="W198" i="3" s="1"/>
  <c r="X187" i="3"/>
  <c r="X189" i="3" s="1"/>
  <c r="X173" i="3"/>
  <c r="X180" i="3" s="1"/>
  <c r="W180" i="3"/>
  <c r="X24" i="3"/>
  <c r="X12" i="3"/>
  <c r="X16" i="3" s="1"/>
  <c r="K191" i="3"/>
  <c r="W191" i="3"/>
  <c r="K190" i="3"/>
  <c r="W190" i="3"/>
  <c r="V198" i="3"/>
  <c r="V193" i="3"/>
  <c r="I170" i="3"/>
  <c r="W169" i="3"/>
  <c r="W166" i="3"/>
  <c r="K166" i="3"/>
  <c r="K170" i="3" s="1"/>
  <c r="V170" i="3"/>
  <c r="L170" i="3"/>
  <c r="X49" i="3"/>
  <c r="L193" i="3"/>
  <c r="L198" i="3"/>
  <c r="L184" i="3"/>
  <c r="K181" i="3"/>
  <c r="X181" i="3" s="1"/>
  <c r="I183" i="3"/>
  <c r="I184" i="3" s="1"/>
  <c r="I192" i="3"/>
  <c r="I193" i="3" s="1"/>
  <c r="L70" i="3"/>
  <c r="U102" i="3"/>
  <c r="V55" i="3"/>
  <c r="V101" i="3"/>
  <c r="U56" i="3"/>
  <c r="V108" i="3"/>
  <c r="V109" i="3" s="1"/>
  <c r="L102" i="3"/>
  <c r="V95" i="3"/>
  <c r="V69" i="3"/>
  <c r="U70" i="3"/>
  <c r="L56" i="3"/>
  <c r="V49" i="3"/>
  <c r="W119" i="3"/>
  <c r="X119" i="3" s="1"/>
  <c r="V120" i="3"/>
  <c r="V114" i="3"/>
  <c r="V117" i="3" s="1"/>
  <c r="V64" i="3"/>
  <c r="W72" i="3"/>
  <c r="V89" i="3"/>
  <c r="W122" i="3"/>
  <c r="V123" i="3"/>
  <c r="K26" i="3"/>
  <c r="I26" i="3"/>
  <c r="U26" i="3"/>
  <c r="L26" i="3"/>
  <c r="W115" i="3"/>
  <c r="W65" i="3"/>
  <c r="W96" i="3"/>
  <c r="W106" i="3"/>
  <c r="W50" i="3"/>
  <c r="X50" i="3" s="1"/>
  <c r="W104" i="3"/>
  <c r="V20" i="3"/>
  <c r="W24" i="3"/>
  <c r="V16" i="3"/>
  <c r="W49" i="3"/>
  <c r="W125" i="3"/>
  <c r="W58" i="3"/>
  <c r="W91" i="3"/>
  <c r="V24" i="3"/>
  <c r="W18" i="3"/>
  <c r="W111" i="3"/>
  <c r="X170" i="3" l="1"/>
  <c r="L35" i="3"/>
  <c r="W192" i="3"/>
  <c r="W193" i="3" s="1"/>
  <c r="X190" i="3"/>
  <c r="X198" i="3"/>
  <c r="W20" i="3"/>
  <c r="X18" i="3"/>
  <c r="X20" i="3" s="1"/>
  <c r="X26" i="3" s="1"/>
  <c r="K183" i="3"/>
  <c r="K184" i="3" s="1"/>
  <c r="X191" i="3"/>
  <c r="W184" i="3"/>
  <c r="X182" i="3"/>
  <c r="X183" i="3" s="1"/>
  <c r="X184" i="3" s="1"/>
  <c r="K192" i="3"/>
  <c r="K193" i="3" s="1"/>
  <c r="K195" i="3" s="1"/>
  <c r="K197" i="3" s="1"/>
  <c r="U35" i="3"/>
  <c r="W126" i="3"/>
  <c r="X125" i="3"/>
  <c r="X126" i="3" s="1"/>
  <c r="W123" i="3"/>
  <c r="X122" i="3"/>
  <c r="X123" i="3" s="1"/>
  <c r="I195" i="3"/>
  <c r="I197" i="3" s="1"/>
  <c r="W116" i="3"/>
  <c r="X115" i="3"/>
  <c r="X116" i="3" s="1"/>
  <c r="W120" i="3"/>
  <c r="X120" i="3"/>
  <c r="W170" i="3"/>
  <c r="W114" i="3"/>
  <c r="X111" i="3"/>
  <c r="X114" i="3" s="1"/>
  <c r="W108" i="3"/>
  <c r="X106" i="3"/>
  <c r="X108" i="3" s="1"/>
  <c r="W101" i="3"/>
  <c r="X96" i="3"/>
  <c r="X101" i="3" s="1"/>
  <c r="W105" i="3"/>
  <c r="X104" i="3"/>
  <c r="X105" i="3" s="1"/>
  <c r="X109" i="3" s="1"/>
  <c r="W95" i="3"/>
  <c r="W102" i="3" s="1"/>
  <c r="X91" i="3"/>
  <c r="X95" i="3" s="1"/>
  <c r="X102" i="3" s="1"/>
  <c r="W89" i="3"/>
  <c r="X72" i="3"/>
  <c r="X89" i="3" s="1"/>
  <c r="L195" i="3"/>
  <c r="L197" i="3" s="1"/>
  <c r="W64" i="3"/>
  <c r="X58" i="3"/>
  <c r="X64" i="3" s="1"/>
  <c r="W69" i="3"/>
  <c r="X65" i="3"/>
  <c r="X69" i="3" s="1"/>
  <c r="W55" i="3"/>
  <c r="W56" i="3" s="1"/>
  <c r="X55" i="3"/>
  <c r="X56" i="3" s="1"/>
  <c r="V201" i="3"/>
  <c r="V195" i="3"/>
  <c r="V197" i="3" s="1"/>
  <c r="L201" i="3"/>
  <c r="I201" i="3"/>
  <c r="V102" i="3"/>
  <c r="W26" i="3"/>
  <c r="V70" i="3"/>
  <c r="V56" i="3"/>
  <c r="V26" i="3"/>
  <c r="V35" i="3" l="1"/>
  <c r="W35" i="3" s="1"/>
  <c r="X35" i="3" s="1"/>
  <c r="X192" i="3"/>
  <c r="X193" i="3" s="1"/>
  <c r="X195" i="3" s="1"/>
  <c r="X197" i="3" s="1"/>
  <c r="W109" i="3"/>
  <c r="W201" i="3"/>
  <c r="K201" i="3"/>
  <c r="W117" i="3"/>
  <c r="W195" i="3"/>
  <c r="W197" i="3" s="1"/>
  <c r="X117" i="3"/>
  <c r="X70" i="3"/>
  <c r="W70" i="3"/>
  <c r="X20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MARIA.P ALMONTE</author>
  </authors>
  <commentList>
    <comment ref="I5" authorId="0" shapeId="0" xr:uid="{50A63881-4341-4F76-ADEB-0452C1231FA1}">
      <text>
        <r>
          <rPr>
            <b/>
            <sz val="9"/>
            <color indexed="81"/>
            <rFont val="Tahoma"/>
            <family val="2"/>
          </rPr>
          <t>MARIA.P ALMONTE:</t>
        </r>
        <r>
          <rPr>
            <sz val="9"/>
            <color indexed="81"/>
            <rFont val="Tahoma"/>
            <family val="2"/>
          </rPr>
          <t xml:space="preserve">
REVISARMONTO DEL PRESUPUESTO INICIAL
</t>
        </r>
      </text>
    </comment>
    <comment ref="L65" authorId="0" shapeId="0" xr:uid="{42C9DD7D-B2CA-47B6-8C14-351AAB6EF8D9}">
      <text>
        <r>
          <rPr>
            <b/>
            <sz val="9"/>
            <color indexed="81"/>
            <rFont val="Tahoma"/>
            <family val="2"/>
          </rPr>
          <t xml:space="preserve">MARIA.P ALMONTE:Pendiente pago 20%
</t>
        </r>
      </text>
    </comment>
  </commentList>
</comments>
</file>

<file path=xl/sharedStrings.xml><?xml version="1.0" encoding="utf-8"?>
<sst xmlns="http://schemas.openxmlformats.org/spreadsheetml/2006/main" count="914" uniqueCount="183">
  <si>
    <t>DIRECCION TECNICA</t>
  </si>
  <si>
    <t>No</t>
  </si>
  <si>
    <t>Tipo de Proyecto</t>
  </si>
  <si>
    <t>Comunidades a Beneficiar</t>
  </si>
  <si>
    <t>Población (Hab)</t>
  </si>
  <si>
    <t>Monto Presupuesto RD$</t>
  </si>
  <si>
    <t>Distrito Municipal de Las Lagunas</t>
  </si>
  <si>
    <r>
      <t xml:space="preserve">Reconstrucción de Centro de Servicio y Construcción de Parqueos en Guauci, Moca, Provincia Espaillat. </t>
    </r>
    <r>
      <rPr>
        <b/>
        <sz val="12"/>
        <color theme="1"/>
        <rFont val="Times New Roman"/>
        <family val="1"/>
      </rPr>
      <t>- CODIGO SNIP 16844</t>
    </r>
  </si>
  <si>
    <t>Guauci, Moca, Provincia Espaillat</t>
  </si>
  <si>
    <t>-</t>
  </si>
  <si>
    <r>
      <t xml:space="preserve">Adquisición de Terrenos para la Construcción de 19 Pozos Tubulares.  </t>
    </r>
    <r>
      <rPr>
        <b/>
        <sz val="12"/>
        <rFont val="Times New Roman"/>
        <family val="1"/>
      </rPr>
      <t>- CODIGO SNIP 16879</t>
    </r>
  </si>
  <si>
    <t>Municipio de Cayetano Germosén, Municipio de San Víctor, Municipio de Moca y Municipio de Jamao al Norte, Provincia Espaillat</t>
  </si>
  <si>
    <r>
      <t xml:space="preserve">Construcción de 2 Pozos Tubulares y 6 Proyectos de Ampliación de Redes. </t>
    </r>
    <r>
      <rPr>
        <b/>
        <sz val="12"/>
        <rFont val="Times New Roman"/>
        <family val="1"/>
      </rPr>
      <t>- CODIGO SNIP 16879</t>
    </r>
  </si>
  <si>
    <t>Distrito Municipal de Veragua - Distrito Municipal  de Villa Magante - Municipio de Gaspar Hernández</t>
  </si>
  <si>
    <t>A</t>
  </si>
  <si>
    <t xml:space="preserve"> Distrito Municipal de Veragua </t>
  </si>
  <si>
    <t>Ampliación de Redes</t>
  </si>
  <si>
    <t>Los Polanco</t>
  </si>
  <si>
    <t>Entrada Los Guaos</t>
  </si>
  <si>
    <t>Entrada La Yuca</t>
  </si>
  <si>
    <t>San Lorenzo</t>
  </si>
  <si>
    <t>B</t>
  </si>
  <si>
    <t>Municipio Gaspar Hernández</t>
  </si>
  <si>
    <t>Construcción de un pozo tubular #1</t>
  </si>
  <si>
    <t>Campo de Pozos</t>
  </si>
  <si>
    <t>Construcción de un pozo tubular #2</t>
  </si>
  <si>
    <t>C</t>
  </si>
  <si>
    <t xml:space="preserve">Distrito Municipal de Villa Magante </t>
  </si>
  <si>
    <t xml:space="preserve"> Entrada La Gallera</t>
  </si>
  <si>
    <t>Entrada Playa Rogelio</t>
  </si>
  <si>
    <t>Proyecto adjudicado para ejecutarse en el año 2026</t>
  </si>
  <si>
    <r>
      <t>Construcción de 19 Pozos Tubulares</t>
    </r>
    <r>
      <rPr>
        <b/>
        <sz val="12"/>
        <color theme="1"/>
        <rFont val="Times New Roman"/>
        <family val="1"/>
      </rPr>
      <t xml:space="preserve"> - CODIGO SNIP 16879</t>
    </r>
    <r>
      <rPr>
        <sz val="12"/>
        <color theme="1"/>
        <rFont val="Times New Roman"/>
        <family val="1"/>
      </rPr>
      <t xml:space="preserve"> y Proyectos de 42 Ampliaciones de Redes </t>
    </r>
    <r>
      <rPr>
        <b/>
        <sz val="12"/>
        <color theme="1"/>
        <rFont val="Times New Roman"/>
        <family val="1"/>
      </rPr>
      <t>- CODIGO SNIP 16340</t>
    </r>
  </si>
  <si>
    <t>Municipio de Cayetano Germosén, Municipio de San Víctor, Municipio de Moca (Distritos Municipales:  Las Lagunas 9, Canca La Reina 3, Juan López 4, Monte de la Jagua 1, Higuerito 1)  y Municipio de Jamao al Norte, Provincia Espaillat.</t>
  </si>
  <si>
    <t>Municipio de Cayetano Germosén</t>
  </si>
  <si>
    <t>La Gallera - Guanábano</t>
  </si>
  <si>
    <t>Villa Progreso</t>
  </si>
  <si>
    <t>Sabana De Los Jiménez</t>
  </si>
  <si>
    <t xml:space="preserve">Calle Del Rio </t>
  </si>
  <si>
    <t>La Penda</t>
  </si>
  <si>
    <t>Barrio nuevo La Guama</t>
  </si>
  <si>
    <t>Cruce de La Guama</t>
  </si>
  <si>
    <t>Urbanización La Guama  (entrada del Play)</t>
  </si>
  <si>
    <t>Entrada la Iglesia - Hato Viejo</t>
  </si>
  <si>
    <t>Barrio Marien - Guanábano</t>
  </si>
  <si>
    <t xml:space="preserve">Construcción de un pozo tubular </t>
  </si>
  <si>
    <t>Construcción de un pozo tubular</t>
  </si>
  <si>
    <t>Calle Del Rio</t>
  </si>
  <si>
    <t>Maguey</t>
  </si>
  <si>
    <t>Municipio de San Víctor</t>
  </si>
  <si>
    <t>Ceiba de Madera (El Mango de Nena 1)</t>
  </si>
  <si>
    <t>Ceiba de Madera (El Mango de Nena 2)</t>
  </si>
  <si>
    <t>La Amapola - Entrada María Arroyo</t>
  </si>
  <si>
    <t>Entrada Arte de Jesús</t>
  </si>
  <si>
    <t>San Víctor - Entrada del  Club del los  Choferes</t>
  </si>
  <si>
    <t>Entrada los  Chivos - San Víctor</t>
  </si>
  <si>
    <t>Los Rieles Arriba</t>
  </si>
  <si>
    <t>B/La Lambada</t>
  </si>
  <si>
    <t>Centro Tecnológico San Víctor</t>
  </si>
  <si>
    <t>Municipio  de Moca</t>
  </si>
  <si>
    <t>Los Cocos Llenas</t>
  </si>
  <si>
    <t>Los Hernández - La Rosario</t>
  </si>
  <si>
    <t>Quebrada Honda - Lotificación Pilo Santana</t>
  </si>
  <si>
    <t xml:space="preserve">Quebrada Honda- Entrada de La Chicha </t>
  </si>
  <si>
    <t>Quebrada Honda -Entrada de la escuelita, C/Mora</t>
  </si>
  <si>
    <t>Villa Delia</t>
  </si>
  <si>
    <t>Entrada  Sixto García - La Soledad</t>
  </si>
  <si>
    <t>Cacique  Abajo- La Antena</t>
  </si>
  <si>
    <t>La Ermita B/Eduardo Brito</t>
  </si>
  <si>
    <t>El Corozo - Entrada Raulito</t>
  </si>
  <si>
    <t>El Jazmín - Cruce del Algarrobo</t>
  </si>
  <si>
    <t>Quebrada La Yagua - El Algarrobo</t>
  </si>
  <si>
    <t>Entrada de la Iglesia y los Cacos, B/Pulu- La Rosario</t>
  </si>
  <si>
    <t>Estancia Nueva - Los Reinoso</t>
  </si>
  <si>
    <t>El Fundo San Francisco abajo</t>
  </si>
  <si>
    <t>Quebrada Honda - Entrada de Willy</t>
  </si>
  <si>
    <t>La Ermita - Entrada Surtidora Santana</t>
  </si>
  <si>
    <t>Boca Férrea</t>
  </si>
  <si>
    <t>La Finca</t>
  </si>
  <si>
    <t>La Lomita</t>
  </si>
  <si>
    <t xml:space="preserve">Canta Rana </t>
  </si>
  <si>
    <t>Boca Férrea - Entrada La Escuela</t>
  </si>
  <si>
    <t>Cruce La Lomita del Higüero (La Finca)</t>
  </si>
  <si>
    <t>La Finca - Entrada de la Escuela</t>
  </si>
  <si>
    <t>Distrito Municipal de Canca la Reina</t>
  </si>
  <si>
    <t>El aguacate - Canca La Reina</t>
  </si>
  <si>
    <t>C/Josefa Rosario</t>
  </si>
  <si>
    <t>La Chicharra</t>
  </si>
  <si>
    <t>Distrito Municipal de Juan López</t>
  </si>
  <si>
    <t>Juan López - Entrada Los Julines</t>
  </si>
  <si>
    <t>Juan López - Entrada Centro Tecnológico</t>
  </si>
  <si>
    <t xml:space="preserve">Juan López - Entrada  Los Pérez </t>
  </si>
  <si>
    <t>Los Camacho</t>
  </si>
  <si>
    <t>Distrito Municipal de Monte de la Jagua</t>
  </si>
  <si>
    <t xml:space="preserve">Entrada Don Juan Monte de La Jagua </t>
  </si>
  <si>
    <t xml:space="preserve"> Distrito Municipal de Higuerito</t>
  </si>
  <si>
    <t>El Higuerito Arriba</t>
  </si>
  <si>
    <t>Municipio de Jamao al Norte</t>
  </si>
  <si>
    <t>Los Brazos</t>
  </si>
  <si>
    <t>Proyectos en ejecución en el periodo 2025 - 2026</t>
  </si>
  <si>
    <r>
      <t>Suministro e Instalación de Micro Medidores de Agua Potable en Residenciales e Industrias para Clientes del Municipio de Moca. (Nivel de avance: 85%)</t>
    </r>
    <r>
      <rPr>
        <b/>
        <sz val="12"/>
        <color theme="1"/>
        <rFont val="Times New Roman"/>
        <family val="1"/>
      </rPr>
      <t xml:space="preserve"> - CODIGO SNIP 16340</t>
    </r>
  </si>
  <si>
    <t>Municipio de Moca</t>
  </si>
  <si>
    <r>
      <t>Construcción de Centros de Servicio al Cliente (-CSC-) CORAAMOCA. (Nivel de avance: 30%)</t>
    </r>
    <r>
      <rPr>
        <b/>
        <sz val="12"/>
        <color theme="1"/>
        <rFont val="Times New Roman"/>
        <family val="1"/>
      </rPr>
      <t xml:space="preserve"> - CODIGO SNIP 16844</t>
    </r>
  </si>
  <si>
    <t>Distrito Municipal de Higuerito - Distrito Municipal de Juan López - Distrito Municipal de Veragua</t>
  </si>
  <si>
    <r>
      <t xml:space="preserve">Construcción de Centro de Servicio al Cliente en el Distrito Municipal de El Higüerito, Moca, Provincia Espaillat. </t>
    </r>
    <r>
      <rPr>
        <b/>
        <sz val="12"/>
        <rFont val="Times New Roman"/>
        <family val="1"/>
      </rPr>
      <t xml:space="preserve">- 60 % ejecutado </t>
    </r>
  </si>
  <si>
    <t>Distrito Municipal de Higuerito</t>
  </si>
  <si>
    <r>
      <t xml:space="preserve">Construcción de Centro de Servicio al Cliente en el Distrito Municipal de Veragua, Gaspar Hernandez, Provincia Espaillat.  </t>
    </r>
    <r>
      <rPr>
        <b/>
        <sz val="12"/>
        <rFont val="Times New Roman"/>
        <family val="1"/>
      </rPr>
      <t xml:space="preserve">- 20 % ejecutado </t>
    </r>
  </si>
  <si>
    <t>Distrito Municipal de Vergua</t>
  </si>
  <si>
    <r>
      <t>Construcción de Centro de Servicio al Cliente en el Distrito Municipal de Juan Lopez, Moca, Provincia Espaillat</t>
    </r>
    <r>
      <rPr>
        <b/>
        <sz val="12"/>
        <color theme="1"/>
        <rFont val="Times New Roman"/>
        <family val="1"/>
      </rPr>
      <t xml:space="preserve">.- 20 % ejecutado </t>
    </r>
  </si>
  <si>
    <t>Distrito Municipal de Juan Lopez</t>
  </si>
  <si>
    <r>
      <t xml:space="preserve">Construcción de 6 Pozos Tubulares y 15 Proyectos de Ampliación de Redes. (Nivel de avance: 30%)
 </t>
    </r>
    <r>
      <rPr>
        <b/>
        <sz val="12"/>
        <color theme="1"/>
        <rFont val="Times New Roman"/>
        <family val="1"/>
      </rPr>
      <t>- CODIGO SNIP 16879</t>
    </r>
  </si>
  <si>
    <t>Campo de Pozos Veragua</t>
  </si>
  <si>
    <t xml:space="preserve">Los Cocos </t>
  </si>
  <si>
    <t>Caño Dulce</t>
  </si>
  <si>
    <t>Callejón de Sara</t>
  </si>
  <si>
    <t>La Españolita</t>
  </si>
  <si>
    <t>La Mina</t>
  </si>
  <si>
    <t>Entrada La Escuela</t>
  </si>
  <si>
    <t xml:space="preserve">Entrada de Gen </t>
  </si>
  <si>
    <t>Villa Olímpica</t>
  </si>
  <si>
    <t>Villa Valentina</t>
  </si>
  <si>
    <t>Entrada el Correo</t>
  </si>
  <si>
    <t>Las Colinas La Antena</t>
  </si>
  <si>
    <t xml:space="preserve">Pozo Las Colinas (La Antena) </t>
  </si>
  <si>
    <t>Loma Al Medio (Entrada La Cigua)</t>
  </si>
  <si>
    <t xml:space="preserve"> Entrada La Batata</t>
  </si>
  <si>
    <t>Pozo Tanque Entrada Los Mangos</t>
  </si>
  <si>
    <t>Entrada Malen</t>
  </si>
  <si>
    <t>Rincón de Genaro</t>
  </si>
  <si>
    <t>Vereda Al Medio</t>
  </si>
  <si>
    <t>FECHA: 18/03/2026</t>
  </si>
  <si>
    <r>
      <t xml:space="preserve">Adquisición de Vehículos Pesados  - 1 Grua, 1 Retroexcavadora, 1 Minibus, 2 Camiones Cisterna y Equipamientos </t>
    </r>
    <r>
      <rPr>
        <b/>
        <sz val="12"/>
        <color theme="1"/>
        <rFont val="Times New Roman"/>
        <family val="1"/>
      </rPr>
      <t>-  CODIGO SNIP 16844</t>
    </r>
  </si>
  <si>
    <t xml:space="preserve">Monto Adjudicado </t>
  </si>
  <si>
    <t xml:space="preserve">1era Cubicación </t>
  </si>
  <si>
    <t xml:space="preserve">2da Cubicación </t>
  </si>
  <si>
    <t xml:space="preserve">3ra Cubicación </t>
  </si>
  <si>
    <t xml:space="preserve">4ta Cubicación </t>
  </si>
  <si>
    <t xml:space="preserve">5ta Cubicación </t>
  </si>
  <si>
    <t xml:space="preserve">6ta Cubicación </t>
  </si>
  <si>
    <t xml:space="preserve">7ma Cubicación </t>
  </si>
  <si>
    <t xml:space="preserve">8va Cubicación </t>
  </si>
  <si>
    <t>Total Cubicado</t>
  </si>
  <si>
    <t>Diponibilidad</t>
  </si>
  <si>
    <t xml:space="preserve">Pendiente </t>
  </si>
  <si>
    <t>Proyectos para licitarse año 2026</t>
  </si>
  <si>
    <t>Total pagado</t>
  </si>
  <si>
    <t xml:space="preserve">Diponibilidad presupuestado versus adjudicado </t>
  </si>
  <si>
    <t>CONST. CRUZ MUÑOZ</t>
  </si>
  <si>
    <t>BENESTAR</t>
  </si>
  <si>
    <t>.</t>
  </si>
  <si>
    <t>c</t>
  </si>
  <si>
    <t>i</t>
  </si>
  <si>
    <t>TC</t>
  </si>
  <si>
    <t>TI</t>
  </si>
  <si>
    <t>CONTRATO ADJUDICADO</t>
  </si>
  <si>
    <t>DIFERENCIA</t>
  </si>
  <si>
    <t>b</t>
  </si>
  <si>
    <t>TB</t>
  </si>
  <si>
    <t>ti</t>
  </si>
  <si>
    <t>TOTAL GENERAL ADJUDICADO</t>
  </si>
  <si>
    <t>Diponibilidad adjudicado</t>
  </si>
  <si>
    <t>Disponibilidad Proyecto</t>
  </si>
  <si>
    <t>Estatus</t>
  </si>
  <si>
    <t>CONSTRUCTORA CAMINO PANTALEON (CCP), S.R.L</t>
  </si>
  <si>
    <t>INGENIERIA Y PERFORACIONES (INPER), S.R.L</t>
  </si>
  <si>
    <t>Proveedor</t>
  </si>
  <si>
    <t>En Proceso</t>
  </si>
  <si>
    <t>CORAAMOCA-CCC-CP-2025-0005</t>
  </si>
  <si>
    <t>CORAAMOCA-CCC-CP-2025-0006</t>
  </si>
  <si>
    <t>Proceso de Compras</t>
  </si>
  <si>
    <t>SNIP</t>
  </si>
  <si>
    <t>CORAAMOCA-CCC-CP-2024-0001</t>
  </si>
  <si>
    <t>CORAAMOCA-CCC-CP-2024-0003</t>
  </si>
  <si>
    <t>LOTE A</t>
  </si>
  <si>
    <t>LOTE C</t>
  </si>
  <si>
    <t>LOTE B</t>
  </si>
  <si>
    <t>LOTE D</t>
  </si>
  <si>
    <t>LOTE E</t>
  </si>
  <si>
    <t>LOTE F</t>
  </si>
  <si>
    <t>LOTE G</t>
  </si>
  <si>
    <t>LOTE H</t>
  </si>
  <si>
    <t>LOTE I</t>
  </si>
  <si>
    <t>CORAAMOCA-CCC-CP-2025-0002</t>
  </si>
  <si>
    <t>BENESTAR CONSTRUCTORA, S.R.L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</si>
</sst>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name val="Calibri"/>
      <family val="2"/>
      <scheme val="minor"/>
    </font>
    <font>
      <b/>
      <sz val="9"/>
      <color indexed="81"/>
      <name val="Tahoma"/>
      <family val="2"/>
    </font>
    <font>
      <b/>
      <i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</cellStyleXfs>
  <cellXfs count="42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4" fontId="4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3" fontId="5" fillId="0" borderId="7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0" xfId="0" applyFont="1"/>
    <xf numFmtId="3" fontId="4" fillId="0" borderId="7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left" vertical="center" wrapText="1"/>
    </xf>
    <xf numFmtId="4" fontId="5" fillId="0" borderId="8" xfId="2" applyNumberFormat="1" applyFont="1" applyBorder="1" applyAlignment="1">
      <alignment horizontal="center" vertical="center" wrapText="1"/>
    </xf>
    <xf numFmtId="12" fontId="6" fillId="0" borderId="7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4" fontId="5" fillId="0" borderId="7" xfId="2" applyNumberFormat="1" applyFont="1" applyBorder="1" applyAlignment="1">
      <alignment horizontal="center" vertical="center" wrapText="1"/>
    </xf>
    <xf numFmtId="0" fontId="10" fillId="0" borderId="7" xfId="0" applyFont="1" applyBorder="1"/>
    <xf numFmtId="0" fontId="7" fillId="0" borderId="8" xfId="0" applyFont="1" applyBorder="1" applyAlignment="1">
      <alignment horizontal="left" vertical="center"/>
    </xf>
    <xf numFmtId="43" fontId="10" fillId="0" borderId="0" xfId="0" applyNumberFormat="1" applyFont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9" fontId="3" fillId="2" borderId="7" xfId="0" applyNumberFormat="1" applyFont="1" applyFill="1" applyBorder="1" applyAlignment="1">
      <alignment horizontal="center" vertical="center" wrapText="1"/>
    </xf>
    <xf numFmtId="43" fontId="4" fillId="0" borderId="7" xfId="1" applyFont="1" applyBorder="1" applyAlignment="1">
      <alignment horizontal="center" vertical="center"/>
    </xf>
    <xf numFmtId="0" fontId="10" fillId="0" borderId="12" xfId="0" applyFont="1" applyBorder="1"/>
    <xf numFmtId="0" fontId="10" fillId="0" borderId="16" xfId="0" applyFont="1" applyBorder="1"/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10" fillId="0" borderId="14" xfId="0" applyFont="1" applyBorder="1"/>
    <xf numFmtId="0" fontId="10" fillId="0" borderId="21" xfId="0" applyFont="1" applyBorder="1"/>
    <xf numFmtId="0" fontId="3" fillId="2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9" fontId="3" fillId="2" borderId="22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0" fillId="0" borderId="24" xfId="0" applyFont="1" applyBorder="1"/>
    <xf numFmtId="0" fontId="10" fillId="2" borderId="0" xfId="0" applyFont="1" applyFill="1"/>
    <xf numFmtId="0" fontId="13" fillId="2" borderId="0" xfId="0" applyFont="1" applyFill="1"/>
    <xf numFmtId="0" fontId="3" fillId="2" borderId="15" xfId="0" applyFont="1" applyFill="1" applyBorder="1" applyAlignment="1">
      <alignment horizontal="center" vertical="center" wrapText="1"/>
    </xf>
    <xf numFmtId="0" fontId="13" fillId="2" borderId="21" xfId="0" applyFont="1" applyFill="1" applyBorder="1"/>
    <xf numFmtId="43" fontId="13" fillId="0" borderId="7" xfId="1" applyFont="1" applyBorder="1" applyAlignment="1">
      <alignment horizontal="center" vertical="center" wrapText="1"/>
    </xf>
    <xf numFmtId="43" fontId="13" fillId="0" borderId="8" xfId="1" applyFont="1" applyBorder="1" applyAlignment="1">
      <alignment horizontal="center" vertical="center" wrapText="1"/>
    </xf>
    <xf numFmtId="43" fontId="13" fillId="0" borderId="22" xfId="1" applyFont="1" applyBorder="1" applyAlignment="1">
      <alignment horizontal="center" vertical="center" wrapText="1"/>
    </xf>
    <xf numFmtId="43" fontId="13" fillId="0" borderId="22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4" borderId="12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 wrapText="1"/>
    </xf>
    <xf numFmtId="3" fontId="3" fillId="4" borderId="7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43" fontId="3" fillId="5" borderId="9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3" fontId="10" fillId="0" borderId="7" xfId="1" applyFont="1" applyFill="1" applyBorder="1" applyAlignment="1">
      <alignment horizontal="center" vertical="center"/>
    </xf>
    <xf numFmtId="43" fontId="13" fillId="0" borderId="7" xfId="1" applyFont="1" applyFill="1" applyBorder="1" applyAlignment="1">
      <alignment horizontal="center" vertical="center"/>
    </xf>
    <xf numFmtId="43" fontId="10" fillId="0" borderId="7" xfId="1" applyFont="1" applyBorder="1" applyAlignment="1">
      <alignment horizontal="center" vertical="center"/>
    </xf>
    <xf numFmtId="43" fontId="10" fillId="0" borderId="8" xfId="1" applyFont="1" applyBorder="1" applyAlignment="1">
      <alignment horizontal="center" vertical="center"/>
    </xf>
    <xf numFmtId="43" fontId="10" fillId="0" borderId="8" xfId="1" applyFont="1" applyBorder="1" applyAlignment="1">
      <alignment horizontal="center" vertical="center" wrapText="1"/>
    </xf>
    <xf numFmtId="43" fontId="10" fillId="0" borderId="8" xfId="1" applyFont="1" applyFill="1" applyBorder="1" applyAlignment="1">
      <alignment horizontal="center" vertical="center"/>
    </xf>
    <xf numFmtId="43" fontId="13" fillId="0" borderId="8" xfId="1" applyFont="1" applyFill="1" applyBorder="1" applyAlignment="1">
      <alignment horizontal="center" vertical="center"/>
    </xf>
    <xf numFmtId="43" fontId="10" fillId="0" borderId="20" xfId="1" applyFont="1" applyBorder="1" applyAlignment="1">
      <alignment horizontal="center" vertical="center"/>
    </xf>
    <xf numFmtId="43" fontId="10" fillId="0" borderId="7" xfId="1" applyFont="1" applyBorder="1" applyAlignment="1">
      <alignment horizontal="center" vertical="center" wrapText="1"/>
    </xf>
    <xf numFmtId="43" fontId="13" fillId="0" borderId="7" xfId="1" applyFont="1" applyBorder="1" applyAlignment="1">
      <alignment horizontal="center" vertical="center"/>
    </xf>
    <xf numFmtId="43" fontId="10" fillId="0" borderId="9" xfId="1" applyFont="1" applyBorder="1" applyAlignment="1">
      <alignment horizontal="center" vertical="center"/>
    </xf>
    <xf numFmtId="43" fontId="10" fillId="0" borderId="9" xfId="1" applyFont="1" applyBorder="1" applyAlignment="1">
      <alignment horizontal="center" vertical="center" wrapText="1"/>
    </xf>
    <xf numFmtId="43" fontId="10" fillId="0" borderId="9" xfId="1" applyFont="1" applyFill="1" applyBorder="1" applyAlignment="1">
      <alignment horizontal="center" vertical="center"/>
    </xf>
    <xf numFmtId="43" fontId="13" fillId="0" borderId="9" xfId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3" fontId="10" fillId="0" borderId="15" xfId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4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1" fillId="0" borderId="0" xfId="3" applyFont="1" applyFill="1" applyBorder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3" fillId="2" borderId="22" xfId="0" applyFont="1" applyFill="1" applyBorder="1" applyAlignment="1">
      <alignment horizontal="center" vertical="top" wrapText="1"/>
    </xf>
    <xf numFmtId="43" fontId="10" fillId="0" borderId="8" xfId="1" applyFont="1" applyBorder="1" applyAlignment="1">
      <alignment horizontal="center" vertical="top"/>
    </xf>
    <xf numFmtId="43" fontId="10" fillId="0" borderId="7" xfId="1" applyFont="1" applyBorder="1" applyAlignment="1">
      <alignment horizontal="center" vertical="top"/>
    </xf>
    <xf numFmtId="43" fontId="10" fillId="0" borderId="9" xfId="1" applyFont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 wrapText="1"/>
    </xf>
    <xf numFmtId="4" fontId="10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3" fontId="13" fillId="0" borderId="8" xfId="1" applyFont="1" applyBorder="1" applyAlignment="1">
      <alignment horizontal="center" vertical="top" wrapText="1"/>
    </xf>
    <xf numFmtId="43" fontId="13" fillId="0" borderId="7" xfId="1" applyFont="1" applyBorder="1" applyAlignment="1">
      <alignment horizontal="center" vertical="top" wrapText="1"/>
    </xf>
    <xf numFmtId="12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top"/>
    </xf>
    <xf numFmtId="0" fontId="10" fillId="0" borderId="8" xfId="0" applyFont="1" applyBorder="1"/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9" fontId="3" fillId="2" borderId="8" xfId="0" applyNumberFormat="1" applyFont="1" applyFill="1" applyBorder="1" applyAlignment="1">
      <alignment horizontal="center" vertical="center" wrapText="1"/>
    </xf>
    <xf numFmtId="0" fontId="10" fillId="0" borderId="26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9" fontId="3" fillId="2" borderId="11" xfId="0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3" fontId="6" fillId="3" borderId="13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/>
    <xf numFmtId="43" fontId="3" fillId="3" borderId="13" xfId="1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 vertical="top"/>
    </xf>
    <xf numFmtId="43" fontId="3" fillId="3" borderId="28" xfId="1" applyFont="1" applyFill="1" applyBorder="1" applyAlignment="1">
      <alignment horizontal="center" vertical="center"/>
    </xf>
    <xf numFmtId="43" fontId="10" fillId="0" borderId="25" xfId="1" applyFont="1" applyBorder="1" applyAlignment="1">
      <alignment horizontal="center" vertical="center"/>
    </xf>
    <xf numFmtId="0" fontId="13" fillId="3" borderId="21" xfId="0" applyFont="1" applyFill="1" applyBorder="1"/>
    <xf numFmtId="0" fontId="3" fillId="3" borderId="22" xfId="0" applyFont="1" applyFill="1" applyBorder="1" applyAlignment="1">
      <alignment horizontal="center" vertical="center"/>
    </xf>
    <xf numFmtId="3" fontId="6" fillId="3" borderId="22" xfId="0" applyNumberFormat="1" applyFont="1" applyFill="1" applyBorder="1" applyAlignment="1">
      <alignment horizontal="center" vertical="center" wrapText="1"/>
    </xf>
    <xf numFmtId="4" fontId="3" fillId="3" borderId="22" xfId="0" applyNumberFormat="1" applyFont="1" applyFill="1" applyBorder="1" applyAlignment="1">
      <alignment horizontal="center" vertical="center"/>
    </xf>
    <xf numFmtId="43" fontId="13" fillId="3" borderId="22" xfId="1" applyFont="1" applyFill="1" applyBorder="1" applyAlignment="1">
      <alignment horizontal="center" vertical="top"/>
    </xf>
    <xf numFmtId="43" fontId="13" fillId="3" borderId="22" xfId="1" applyFont="1" applyFill="1" applyBorder="1" applyAlignment="1">
      <alignment horizontal="center" vertical="center"/>
    </xf>
    <xf numFmtId="43" fontId="13" fillId="3" borderId="23" xfId="1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9" xfId="0" applyFont="1" applyBorder="1" applyAlignment="1">
      <alignment horizontal="center" vertical="top"/>
    </xf>
    <xf numFmtId="4" fontId="10" fillId="0" borderId="9" xfId="0" applyNumberFormat="1" applyFont="1" applyBorder="1" applyAlignment="1">
      <alignment horizontal="center" vertical="center" wrapText="1"/>
    </xf>
    <xf numFmtId="43" fontId="13" fillId="0" borderId="9" xfId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13" fillId="3" borderId="22" xfId="0" applyFont="1" applyFill="1" applyBorder="1"/>
    <xf numFmtId="3" fontId="3" fillId="3" borderId="22" xfId="0" applyNumberFormat="1" applyFont="1" applyFill="1" applyBorder="1" applyAlignment="1">
      <alignment horizontal="center" vertical="center" wrapText="1"/>
    </xf>
    <xf numFmtId="43" fontId="13" fillId="3" borderId="22" xfId="0" applyNumberFormat="1" applyFont="1" applyFill="1" applyBorder="1" applyAlignment="1">
      <alignment horizontal="center" vertical="top"/>
    </xf>
    <xf numFmtId="43" fontId="13" fillId="3" borderId="22" xfId="0" applyNumberFormat="1" applyFont="1" applyFill="1" applyBorder="1" applyAlignment="1">
      <alignment horizontal="center" vertical="center"/>
    </xf>
    <xf numFmtId="43" fontId="13" fillId="3" borderId="23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4" fontId="12" fillId="0" borderId="9" xfId="0" applyNumberFormat="1" applyFont="1" applyBorder="1" applyAlignment="1">
      <alignment horizontal="center" vertical="center"/>
    </xf>
    <xf numFmtId="0" fontId="10" fillId="3" borderId="21" xfId="0" applyFont="1" applyFill="1" applyBorder="1"/>
    <xf numFmtId="0" fontId="7" fillId="3" borderId="22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horizontal="left" vertical="center"/>
    </xf>
    <xf numFmtId="4" fontId="3" fillId="3" borderId="22" xfId="0" applyNumberFormat="1" applyFont="1" applyFill="1" applyBorder="1" applyAlignment="1">
      <alignment horizontal="center" vertical="top"/>
    </xf>
    <xf numFmtId="4" fontId="3" fillId="3" borderId="2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43" fontId="13" fillId="0" borderId="0" xfId="1" applyFont="1" applyBorder="1" applyAlignment="1">
      <alignment horizontal="center" vertical="top" wrapText="1"/>
    </xf>
    <xf numFmtId="43" fontId="13" fillId="0" borderId="0" xfId="1" applyFont="1" applyBorder="1" applyAlignment="1">
      <alignment horizontal="center" vertical="center" wrapText="1"/>
    </xf>
    <xf numFmtId="43" fontId="13" fillId="0" borderId="0" xfId="1" applyFont="1" applyFill="1" applyBorder="1" applyAlignment="1">
      <alignment horizontal="center" vertical="center" wrapText="1"/>
    </xf>
    <xf numFmtId="0" fontId="13" fillId="2" borderId="17" xfId="0" applyFont="1" applyFill="1" applyBorder="1"/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 wrapText="1"/>
    </xf>
    <xf numFmtId="9" fontId="3" fillId="2" borderId="18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43" fontId="13" fillId="0" borderId="13" xfId="1" applyFont="1" applyBorder="1" applyAlignment="1">
      <alignment horizontal="center" vertical="top" wrapText="1"/>
    </xf>
    <xf numFmtId="43" fontId="13" fillId="0" borderId="13" xfId="1" applyFont="1" applyBorder="1" applyAlignment="1">
      <alignment horizontal="center" vertical="center" wrapText="1"/>
    </xf>
    <xf numFmtId="43" fontId="13" fillId="0" borderId="13" xfId="1" applyFont="1" applyFill="1" applyBorder="1" applyAlignment="1">
      <alignment horizontal="center" vertical="center" wrapText="1"/>
    </xf>
    <xf numFmtId="43" fontId="13" fillId="0" borderId="28" xfId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3" fontId="6" fillId="0" borderId="7" xfId="1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0" xfId="0" applyFont="1" applyBorder="1" applyAlignment="1">
      <alignment horizontal="center" vertical="top"/>
    </xf>
    <xf numFmtId="0" fontId="13" fillId="5" borderId="16" xfId="0" applyFont="1" applyFill="1" applyBorder="1"/>
    <xf numFmtId="0" fontId="13" fillId="5" borderId="13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/>
    </xf>
    <xf numFmtId="4" fontId="6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164" fontId="15" fillId="0" borderId="0" xfId="3" applyFont="1" applyFill="1" applyBorder="1" applyAlignment="1">
      <alignment horizontal="center" vertical="center"/>
    </xf>
    <xf numFmtId="43" fontId="3" fillId="5" borderId="9" xfId="1" applyFont="1" applyFill="1" applyBorder="1" applyAlignment="1">
      <alignment horizontal="center" vertical="center"/>
    </xf>
    <xf numFmtId="43" fontId="3" fillId="5" borderId="9" xfId="1" applyFont="1" applyFill="1" applyBorder="1" applyAlignment="1">
      <alignment horizontal="left" vertical="center" wrapText="1"/>
    </xf>
    <xf numFmtId="43" fontId="13" fillId="0" borderId="0" xfId="1" applyFont="1"/>
    <xf numFmtId="43" fontId="13" fillId="5" borderId="12" xfId="1" applyFont="1" applyFill="1" applyBorder="1"/>
    <xf numFmtId="43" fontId="13" fillId="4" borderId="12" xfId="1" applyFont="1" applyFill="1" applyBorder="1"/>
    <xf numFmtId="43" fontId="3" fillId="4" borderId="7" xfId="1" applyFont="1" applyFill="1" applyBorder="1" applyAlignment="1">
      <alignment horizontal="center" vertical="center"/>
    </xf>
    <xf numFmtId="43" fontId="3" fillId="4" borderId="7" xfId="1" applyFont="1" applyFill="1" applyBorder="1" applyAlignment="1">
      <alignment horizontal="left" vertical="center"/>
    </xf>
    <xf numFmtId="43" fontId="3" fillId="4" borderId="7" xfId="1" applyFont="1" applyFill="1" applyBorder="1" applyAlignment="1">
      <alignment horizontal="center" vertical="center" wrapText="1"/>
    </xf>
    <xf numFmtId="43" fontId="13" fillId="4" borderId="14" xfId="1" applyFont="1" applyFill="1" applyBorder="1"/>
    <xf numFmtId="43" fontId="3" fillId="4" borderId="7" xfId="1" applyFont="1" applyFill="1" applyBorder="1" applyAlignment="1">
      <alignment horizontal="left" vertical="center" wrapText="1"/>
    </xf>
    <xf numFmtId="43" fontId="10" fillId="0" borderId="0" xfId="1" applyFont="1"/>
    <xf numFmtId="4" fontId="13" fillId="0" borderId="0" xfId="0" applyNumberFormat="1" applyFont="1" applyAlignment="1">
      <alignment horizontal="center" vertical="top"/>
    </xf>
    <xf numFmtId="43" fontId="13" fillId="0" borderId="0" xfId="1" applyFont="1" applyFill="1" applyBorder="1" applyAlignment="1">
      <alignment horizontal="center" vertical="top"/>
    </xf>
    <xf numFmtId="43" fontId="10" fillId="0" borderId="0" xfId="1" applyFont="1" applyFill="1" applyAlignment="1">
      <alignment horizontal="center" vertical="center"/>
    </xf>
    <xf numFmtId="43" fontId="4" fillId="0" borderId="8" xfId="1" applyFont="1" applyBorder="1" applyAlignment="1">
      <alignment horizontal="center" vertical="center"/>
    </xf>
    <xf numFmtId="43" fontId="13" fillId="5" borderId="13" xfId="1" applyFont="1" applyFill="1" applyBorder="1" applyAlignment="1">
      <alignment horizontal="center" vertical="center"/>
    </xf>
    <xf numFmtId="43" fontId="3" fillId="5" borderId="13" xfId="1" applyFont="1" applyFill="1" applyBorder="1" applyAlignment="1">
      <alignment horizontal="center" vertical="center"/>
    </xf>
    <xf numFmtId="43" fontId="13" fillId="0" borderId="8" xfId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3" fillId="2" borderId="6" xfId="0" applyFont="1" applyFill="1" applyBorder="1"/>
    <xf numFmtId="0" fontId="13" fillId="0" borderId="7" xfId="0" applyFont="1" applyBorder="1"/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10" fillId="2" borderId="26" xfId="0" applyFont="1" applyFill="1" applyBorder="1"/>
    <xf numFmtId="0" fontId="13" fillId="2" borderId="11" xfId="0" applyFont="1" applyFill="1" applyBorder="1"/>
    <xf numFmtId="4" fontId="6" fillId="2" borderId="11" xfId="0" applyNumberFormat="1" applyFont="1" applyFill="1" applyBorder="1" applyAlignment="1">
      <alignment horizontal="center" vertical="center"/>
    </xf>
    <xf numFmtId="0" fontId="13" fillId="0" borderId="12" xfId="0" applyFont="1" applyBorder="1"/>
    <xf numFmtId="43" fontId="6" fillId="0" borderId="15" xfId="1" applyFont="1" applyFill="1" applyBorder="1" applyAlignment="1">
      <alignment horizontal="center" vertical="center"/>
    </xf>
    <xf numFmtId="43" fontId="13" fillId="0" borderId="16" xfId="1" applyFont="1" applyBorder="1"/>
    <xf numFmtId="4" fontId="6" fillId="5" borderId="13" xfId="0" applyNumberFormat="1" applyFont="1" applyFill="1" applyBorder="1" applyAlignment="1">
      <alignment horizontal="center"/>
    </xf>
    <xf numFmtId="0" fontId="13" fillId="5" borderId="13" xfId="0" applyFont="1" applyFill="1" applyBorder="1" applyAlignment="1">
      <alignment horizontal="left" vertical="center"/>
    </xf>
    <xf numFmtId="37" fontId="13" fillId="5" borderId="13" xfId="0" applyNumberFormat="1" applyFont="1" applyFill="1" applyBorder="1" applyAlignment="1">
      <alignment horizontal="center" vertical="center"/>
    </xf>
    <xf numFmtId="43" fontId="13" fillId="5" borderId="28" xfId="1" applyFont="1" applyFill="1" applyBorder="1" applyAlignment="1">
      <alignment horizontal="center" vertical="center"/>
    </xf>
    <xf numFmtId="43" fontId="5" fillId="0" borderId="7" xfId="1" applyFont="1" applyFill="1" applyBorder="1" applyAlignment="1">
      <alignment horizontal="center" vertical="center"/>
    </xf>
    <xf numFmtId="43" fontId="13" fillId="0" borderId="7" xfId="1" applyFont="1" applyFill="1" applyBorder="1" applyAlignment="1">
      <alignment horizontal="center" vertical="top" wrapText="1"/>
    </xf>
    <xf numFmtId="37" fontId="13" fillId="0" borderId="7" xfId="1" applyNumberFormat="1" applyFont="1" applyFill="1" applyBorder="1" applyAlignment="1">
      <alignment horizontal="center" vertical="top" wrapText="1"/>
    </xf>
    <xf numFmtId="43" fontId="13" fillId="0" borderId="15" xfId="1" applyFont="1" applyFill="1" applyBorder="1" applyAlignment="1">
      <alignment horizontal="center" vertical="top" wrapText="1"/>
    </xf>
    <xf numFmtId="43" fontId="4" fillId="0" borderId="7" xfId="1" applyFont="1" applyFill="1" applyBorder="1" applyAlignment="1">
      <alignment horizontal="center" vertical="center"/>
    </xf>
    <xf numFmtId="43" fontId="10" fillId="0" borderId="7" xfId="1" applyFont="1" applyFill="1" applyBorder="1" applyAlignment="1">
      <alignment horizontal="center" vertical="top" wrapText="1"/>
    </xf>
    <xf numFmtId="43" fontId="10" fillId="0" borderId="7" xfId="1" applyFont="1" applyFill="1" applyBorder="1" applyAlignment="1">
      <alignment horizontal="center" vertical="center" wrapText="1"/>
    </xf>
    <xf numFmtId="43" fontId="10" fillId="0" borderId="0" xfId="0" applyNumberFormat="1" applyFont="1" applyAlignment="1">
      <alignment horizontal="center" vertical="top"/>
    </xf>
    <xf numFmtId="43" fontId="13" fillId="0" borderId="0" xfId="1" applyFont="1" applyFill="1"/>
    <xf numFmtId="43" fontId="13" fillId="0" borderId="12" xfId="1" applyFont="1" applyFill="1" applyBorder="1"/>
    <xf numFmtId="43" fontId="3" fillId="0" borderId="7" xfId="1" applyFont="1" applyFill="1" applyBorder="1" applyAlignment="1">
      <alignment horizontal="center" vertical="center"/>
    </xf>
    <xf numFmtId="43" fontId="3" fillId="0" borderId="7" xfId="1" applyFont="1" applyFill="1" applyBorder="1" applyAlignment="1">
      <alignment horizontal="left" vertical="center"/>
    </xf>
    <xf numFmtId="0" fontId="13" fillId="0" borderId="24" xfId="0" applyFont="1" applyBorder="1"/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43" fontId="6" fillId="0" borderId="9" xfId="1" applyFont="1" applyFill="1" applyBorder="1" applyAlignment="1">
      <alignment horizontal="center" vertical="center"/>
    </xf>
    <xf numFmtId="43" fontId="3" fillId="0" borderId="9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164" fontId="15" fillId="2" borderId="0" xfId="3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164" fontId="15" fillId="6" borderId="0" xfId="3" applyFont="1" applyFill="1" applyBorder="1" applyAlignment="1">
      <alignment horizontal="center" vertical="center"/>
    </xf>
    <xf numFmtId="164" fontId="11" fillId="6" borderId="0" xfId="3" applyFont="1" applyFill="1" applyBorder="1" applyAlignment="1">
      <alignment horizontal="center" vertical="center"/>
    </xf>
    <xf numFmtId="4" fontId="10" fillId="6" borderId="0" xfId="0" applyNumberFormat="1" applyFont="1" applyFill="1" applyAlignment="1">
      <alignment horizontal="center" vertical="top"/>
    </xf>
    <xf numFmtId="4" fontId="10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top"/>
    </xf>
    <xf numFmtId="164" fontId="17" fillId="0" borderId="0" xfId="3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4" fontId="5" fillId="0" borderId="0" xfId="2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5" fillId="0" borderId="0" xfId="2" applyNumberFormat="1" applyFont="1" applyAlignment="1">
      <alignment horizontal="center" vertical="center"/>
    </xf>
    <xf numFmtId="0" fontId="10" fillId="0" borderId="7" xfId="0" applyFont="1" applyBorder="1" applyAlignment="1">
      <alignment wrapText="1"/>
    </xf>
    <xf numFmtId="3" fontId="3" fillId="0" borderId="0" xfId="0" applyNumberFormat="1" applyFont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43" fontId="10" fillId="0" borderId="15" xfId="0" applyNumberFormat="1" applyFont="1" applyBorder="1"/>
    <xf numFmtId="0" fontId="10" fillId="0" borderId="13" xfId="0" applyFont="1" applyBorder="1" applyAlignment="1">
      <alignment wrapText="1"/>
    </xf>
    <xf numFmtId="12" fontId="6" fillId="0" borderId="13" xfId="1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4" fontId="5" fillId="0" borderId="13" xfId="2" applyNumberFormat="1" applyFont="1" applyBorder="1" applyAlignment="1">
      <alignment horizontal="center" vertical="center" wrapText="1"/>
    </xf>
    <xf numFmtId="43" fontId="5" fillId="0" borderId="13" xfId="1" applyFont="1" applyBorder="1" applyAlignment="1">
      <alignment horizontal="center" vertical="center"/>
    </xf>
    <xf numFmtId="43" fontId="13" fillId="0" borderId="18" xfId="1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10" fillId="2" borderId="21" xfId="0" applyFont="1" applyFill="1" applyBorder="1"/>
    <xf numFmtId="0" fontId="13" fillId="2" borderId="22" xfId="0" applyFont="1" applyFill="1" applyBorder="1"/>
    <xf numFmtId="0" fontId="10" fillId="0" borderId="8" xfId="0" applyFont="1" applyBorder="1" applyAlignment="1">
      <alignment wrapText="1"/>
    </xf>
    <xf numFmtId="1" fontId="10" fillId="0" borderId="8" xfId="0" applyNumberFormat="1" applyFont="1" applyBorder="1" applyAlignment="1">
      <alignment horizontal="center" vertical="center"/>
    </xf>
    <xf numFmtId="43" fontId="5" fillId="0" borderId="8" xfId="1" applyFont="1" applyBorder="1" applyAlignment="1" applyProtection="1">
      <alignment horizontal="center" vertical="center"/>
      <protection locked="0"/>
    </xf>
    <xf numFmtId="43" fontId="10" fillId="0" borderId="20" xfId="0" applyNumberFormat="1" applyFont="1" applyBorder="1"/>
    <xf numFmtId="0" fontId="4" fillId="2" borderId="22" xfId="0" applyFont="1" applyFill="1" applyBorder="1" applyAlignment="1">
      <alignment horizontal="left" vertical="center" wrapText="1"/>
    </xf>
    <xf numFmtId="4" fontId="4" fillId="0" borderId="0" xfId="0" applyNumberFormat="1" applyFont="1" applyAlignment="1">
      <alignment horizontal="center" vertical="center"/>
    </xf>
    <xf numFmtId="43" fontId="10" fillId="0" borderId="0" xfId="1" applyFont="1" applyBorder="1" applyAlignment="1">
      <alignment horizontal="center" vertical="top" wrapText="1"/>
    </xf>
    <xf numFmtId="43" fontId="10" fillId="0" borderId="0" xfId="1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43" fontId="10" fillId="0" borderId="30" xfId="1" applyFont="1" applyBorder="1" applyAlignment="1">
      <alignment horizontal="center" vertical="center"/>
    </xf>
    <xf numFmtId="43" fontId="10" fillId="0" borderId="31" xfId="1" applyFont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 applyAlignment="1">
      <alignment wrapText="1"/>
    </xf>
    <xf numFmtId="12" fontId="6" fillId="0" borderId="18" xfId="1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4" fontId="5" fillId="0" borderId="18" xfId="2" applyNumberFormat="1" applyFont="1" applyBorder="1" applyAlignment="1">
      <alignment horizontal="center" vertical="center" wrapText="1"/>
    </xf>
    <xf numFmtId="37" fontId="4" fillId="0" borderId="18" xfId="1" applyNumberFormat="1" applyFont="1" applyBorder="1" applyAlignment="1">
      <alignment horizontal="center" vertical="center" wrapText="1"/>
    </xf>
    <xf numFmtId="43" fontId="5" fillId="0" borderId="18" xfId="1" applyFont="1" applyBorder="1" applyAlignment="1">
      <alignment horizontal="center" vertical="center"/>
    </xf>
    <xf numFmtId="43" fontId="13" fillId="0" borderId="18" xfId="1" applyFont="1" applyBorder="1" applyAlignment="1">
      <alignment horizontal="center" vertical="top" wrapText="1"/>
    </xf>
    <xf numFmtId="1" fontId="4" fillId="0" borderId="13" xfId="0" applyNumberFormat="1" applyFont="1" applyBorder="1" applyAlignment="1">
      <alignment horizontal="center" vertical="center" wrapText="1"/>
    </xf>
    <xf numFmtId="43" fontId="10" fillId="0" borderId="13" xfId="1" applyFont="1" applyBorder="1" applyAlignment="1">
      <alignment horizontal="center" vertical="center"/>
    </xf>
    <xf numFmtId="43" fontId="10" fillId="0" borderId="28" xfId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4" fontId="3" fillId="0" borderId="22" xfId="0" applyNumberFormat="1" applyFont="1" applyBorder="1" applyAlignment="1">
      <alignment horizontal="center" vertical="center"/>
    </xf>
    <xf numFmtId="43" fontId="13" fillId="0" borderId="23" xfId="0" applyNumberFormat="1" applyFont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43" fontId="4" fillId="0" borderId="0" xfId="1" applyFont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top"/>
    </xf>
    <xf numFmtId="43" fontId="10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0" fontId="10" fillId="0" borderId="13" xfId="0" applyFont="1" applyBorder="1"/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43" fontId="4" fillId="0" borderId="13" xfId="1" applyFont="1" applyBorder="1" applyAlignment="1">
      <alignment horizontal="center" vertical="center"/>
    </xf>
    <xf numFmtId="43" fontId="10" fillId="0" borderId="13" xfId="1" applyFont="1" applyFill="1" applyBorder="1" applyAlignment="1">
      <alignment horizontal="center" vertical="center"/>
    </xf>
    <xf numFmtId="43" fontId="13" fillId="0" borderId="13" xfId="1" applyFont="1" applyFill="1" applyBorder="1" applyAlignment="1">
      <alignment horizontal="center" vertical="center"/>
    </xf>
    <xf numFmtId="43" fontId="18" fillId="0" borderId="7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3" fontId="5" fillId="0" borderId="11" xfId="0" applyNumberFormat="1" applyFont="1" applyBorder="1" applyAlignment="1">
      <alignment horizontal="center" vertical="center" wrapText="1"/>
    </xf>
    <xf numFmtId="43" fontId="4" fillId="0" borderId="11" xfId="1" applyFont="1" applyBorder="1" applyAlignment="1">
      <alignment horizontal="center" vertical="center"/>
    </xf>
    <xf numFmtId="43" fontId="10" fillId="0" borderId="11" xfId="1" applyFont="1" applyFill="1" applyBorder="1" applyAlignment="1">
      <alignment horizontal="center" vertical="top"/>
    </xf>
    <xf numFmtId="43" fontId="10" fillId="0" borderId="27" xfId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center" vertical="center" wrapText="1"/>
    </xf>
    <xf numFmtId="43" fontId="13" fillId="0" borderId="23" xfId="0" applyNumberFormat="1" applyFont="1" applyBorder="1" applyAlignment="1">
      <alignment horizontal="center" vertical="center" wrapText="1"/>
    </xf>
    <xf numFmtId="0" fontId="13" fillId="2" borderId="1" xfId="0" applyFont="1" applyFill="1" applyBorder="1"/>
    <xf numFmtId="0" fontId="10" fillId="0" borderId="4" xfId="0" applyFont="1" applyBorder="1"/>
    <xf numFmtId="43" fontId="10" fillId="0" borderId="5" xfId="0" applyNumberFormat="1" applyFont="1" applyBorder="1"/>
    <xf numFmtId="0" fontId="13" fillId="0" borderId="4" xfId="0" applyFont="1" applyBorder="1"/>
    <xf numFmtId="43" fontId="3" fillId="4" borderId="15" xfId="1" applyFont="1" applyFill="1" applyBorder="1" applyAlignment="1">
      <alignment horizontal="center" vertical="center" wrapText="1"/>
    </xf>
    <xf numFmtId="43" fontId="3" fillId="5" borderId="25" xfId="1" applyFont="1" applyFill="1" applyBorder="1" applyAlignment="1">
      <alignment horizontal="center" vertical="center" wrapText="1"/>
    </xf>
    <xf numFmtId="0" fontId="10" fillId="2" borderId="4" xfId="0" applyFont="1" applyFill="1" applyBorder="1"/>
    <xf numFmtId="43" fontId="13" fillId="0" borderId="4" xfId="1" applyFont="1" applyBorder="1"/>
    <xf numFmtId="43" fontId="10" fillId="0" borderId="4" xfId="1" applyFont="1" applyBorder="1"/>
    <xf numFmtId="43" fontId="10" fillId="0" borderId="32" xfId="1" applyFont="1" applyBorder="1"/>
    <xf numFmtId="3" fontId="4" fillId="0" borderId="9" xfId="0" applyNumberFormat="1" applyFont="1" applyBorder="1" applyAlignment="1">
      <alignment horizontal="center" vertical="center" wrapText="1"/>
    </xf>
    <xf numFmtId="43" fontId="10" fillId="5" borderId="21" xfId="1" applyFont="1" applyFill="1" applyBorder="1"/>
    <xf numFmtId="43" fontId="3" fillId="5" borderId="22" xfId="1" applyFont="1" applyFill="1" applyBorder="1" applyAlignment="1">
      <alignment horizontal="center" vertical="center"/>
    </xf>
    <xf numFmtId="43" fontId="5" fillId="5" borderId="22" xfId="1" applyFont="1" applyFill="1" applyBorder="1" applyAlignment="1">
      <alignment horizontal="left" vertical="center" wrapText="1"/>
    </xf>
    <xf numFmtId="43" fontId="3" fillId="5" borderId="22" xfId="1" applyFont="1" applyFill="1" applyBorder="1" applyAlignment="1">
      <alignment horizontal="center" vertical="center" wrapText="1"/>
    </xf>
    <xf numFmtId="43" fontId="3" fillId="5" borderId="23" xfId="1" applyFont="1" applyFill="1" applyBorder="1" applyAlignment="1">
      <alignment horizontal="center" vertical="center" wrapText="1"/>
    </xf>
    <xf numFmtId="0" fontId="10" fillId="0" borderId="33" xfId="0" applyFont="1" applyBorder="1"/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43" fontId="5" fillId="0" borderId="10" xfId="1" applyFont="1" applyBorder="1" applyAlignment="1">
      <alignment horizontal="center" vertical="center"/>
    </xf>
    <xf numFmtId="43" fontId="10" fillId="0" borderId="10" xfId="1" applyFont="1" applyBorder="1" applyAlignment="1">
      <alignment horizontal="center" vertical="top"/>
    </xf>
    <xf numFmtId="43" fontId="10" fillId="0" borderId="10" xfId="1" applyFont="1" applyBorder="1" applyAlignment="1">
      <alignment horizontal="center" vertical="center"/>
    </xf>
    <xf numFmtId="43" fontId="10" fillId="0" borderId="10" xfId="1" applyFont="1" applyFill="1" applyBorder="1" applyAlignment="1">
      <alignment horizontal="center" vertical="center"/>
    </xf>
    <xf numFmtId="43" fontId="13" fillId="0" borderId="10" xfId="1" applyFont="1" applyFill="1" applyBorder="1" applyAlignment="1">
      <alignment horizontal="center" vertical="center"/>
    </xf>
    <xf numFmtId="43" fontId="10" fillId="0" borderId="34" xfId="1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43" fontId="3" fillId="4" borderId="9" xfId="1" applyFont="1" applyFill="1" applyBorder="1" applyAlignment="1">
      <alignment horizontal="left" vertical="center" wrapText="1"/>
    </xf>
    <xf numFmtId="43" fontId="3" fillId="4" borderId="9" xfId="1" applyFont="1" applyFill="1" applyBorder="1" applyAlignment="1">
      <alignment horizontal="center" vertical="center" wrapText="1"/>
    </xf>
    <xf numFmtId="43" fontId="3" fillId="4" borderId="25" xfId="1" applyFont="1" applyFill="1" applyBorder="1" applyAlignment="1">
      <alignment horizontal="center" vertical="center" wrapText="1"/>
    </xf>
    <xf numFmtId="43" fontId="13" fillId="5" borderId="21" xfId="1" applyFont="1" applyFill="1" applyBorder="1"/>
    <xf numFmtId="43" fontId="3" fillId="5" borderId="22" xfId="1" applyFont="1" applyFill="1" applyBorder="1" applyAlignment="1">
      <alignment horizontal="left" vertical="center" wrapText="1"/>
    </xf>
    <xf numFmtId="43" fontId="13" fillId="4" borderId="9" xfId="1" applyFont="1" applyFill="1" applyBorder="1"/>
    <xf numFmtId="43" fontId="13" fillId="4" borderId="9" xfId="1" applyFont="1" applyFill="1" applyBorder="1" applyAlignment="1">
      <alignment horizontal="center" vertical="center"/>
    </xf>
    <xf numFmtId="43" fontId="13" fillId="4" borderId="25" xfId="1" applyFont="1" applyFill="1" applyBorder="1" applyAlignment="1">
      <alignment horizontal="center" vertical="center"/>
    </xf>
    <xf numFmtId="43" fontId="13" fillId="5" borderId="22" xfId="1" applyFont="1" applyFill="1" applyBorder="1"/>
    <xf numFmtId="43" fontId="13" fillId="5" borderId="22" xfId="1" applyFont="1" applyFill="1" applyBorder="1" applyAlignment="1">
      <alignment horizontal="center" vertical="center"/>
    </xf>
    <xf numFmtId="43" fontId="13" fillId="5" borderId="23" xfId="1" applyFont="1" applyFill="1" applyBorder="1" applyAlignment="1">
      <alignment horizontal="center" vertical="center"/>
    </xf>
    <xf numFmtId="43" fontId="13" fillId="4" borderId="25" xfId="1" applyFont="1" applyFill="1" applyBorder="1"/>
    <xf numFmtId="0" fontId="4" fillId="0" borderId="9" xfId="0" applyFont="1" applyBorder="1" applyAlignment="1">
      <alignment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13" fillId="5" borderId="21" xfId="0" applyFon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3" fontId="3" fillId="5" borderId="22" xfId="0" applyNumberFormat="1" applyFont="1" applyFill="1" applyBorder="1" applyAlignment="1">
      <alignment horizontal="center" vertical="center" wrapText="1"/>
    </xf>
    <xf numFmtId="0" fontId="13" fillId="2" borderId="32" xfId="0" applyFont="1" applyFill="1" applyBorder="1"/>
    <xf numFmtId="0" fontId="3" fillId="2" borderId="20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4" fontId="3" fillId="0" borderId="23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0" fontId="10" fillId="0" borderId="35" xfId="0" applyFont="1" applyBorder="1"/>
    <xf numFmtId="0" fontId="10" fillId="3" borderId="36" xfId="0" applyFont="1" applyFill="1" applyBorder="1"/>
    <xf numFmtId="0" fontId="10" fillId="0" borderId="37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8" xfId="0" applyFont="1" applyBorder="1"/>
    <xf numFmtId="0" fontId="13" fillId="3" borderId="37" xfId="0" applyFont="1" applyFill="1" applyBorder="1"/>
    <xf numFmtId="0" fontId="10" fillId="3" borderId="37" xfId="0" applyFont="1" applyFill="1" applyBorder="1"/>
    <xf numFmtId="0" fontId="10" fillId="0" borderId="36" xfId="0" applyFont="1" applyBorder="1"/>
    <xf numFmtId="0" fontId="13" fillId="2" borderId="37" xfId="0" applyFont="1" applyFill="1" applyBorder="1"/>
    <xf numFmtId="0" fontId="13" fillId="4" borderId="31" xfId="0" applyFont="1" applyFill="1" applyBorder="1"/>
    <xf numFmtId="0" fontId="13" fillId="5" borderId="37" xfId="0" applyFont="1" applyFill="1" applyBorder="1"/>
    <xf numFmtId="43" fontId="13" fillId="5" borderId="37" xfId="1" applyFont="1" applyFill="1" applyBorder="1"/>
    <xf numFmtId="0" fontId="13" fillId="2" borderId="29" xfId="0" applyFont="1" applyFill="1" applyBorder="1"/>
    <xf numFmtId="43" fontId="13" fillId="4" borderId="31" xfId="1" applyFont="1" applyFill="1" applyBorder="1"/>
    <xf numFmtId="43" fontId="13" fillId="4" borderId="30" xfId="1" applyFont="1" applyFill="1" applyBorder="1"/>
    <xf numFmtId="43" fontId="13" fillId="5" borderId="38" xfId="1" applyFont="1" applyFill="1" applyBorder="1"/>
    <xf numFmtId="43" fontId="10" fillId="5" borderId="37" xfId="1" applyFont="1" applyFill="1" applyBorder="1"/>
    <xf numFmtId="0" fontId="13" fillId="0" borderId="38" xfId="0" applyFont="1" applyBorder="1"/>
    <xf numFmtId="0" fontId="13" fillId="5" borderId="36" xfId="0" applyFont="1" applyFill="1" applyBorder="1"/>
    <xf numFmtId="0" fontId="13" fillId="2" borderId="39" xfId="0" applyFont="1" applyFill="1" applyBorder="1"/>
    <xf numFmtId="0" fontId="13" fillId="0" borderId="31" xfId="0" applyFont="1" applyBorder="1"/>
    <xf numFmtId="43" fontId="13" fillId="0" borderId="0" xfId="1" applyFont="1" applyBorder="1"/>
    <xf numFmtId="0" fontId="10" fillId="2" borderId="37" xfId="0" applyFont="1" applyFill="1" applyBorder="1"/>
    <xf numFmtId="0" fontId="10" fillId="0" borderId="29" xfId="0" applyFont="1" applyBorder="1"/>
    <xf numFmtId="0" fontId="10" fillId="2" borderId="35" xfId="0" applyFont="1" applyFill="1" applyBorder="1"/>
    <xf numFmtId="43" fontId="13" fillId="0" borderId="36" xfId="1" applyFont="1" applyBorder="1"/>
    <xf numFmtId="0" fontId="3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illares" xfId="1" builtinId="3"/>
    <cellStyle name="Millares 7" xfId="3" xr:uid="{3E213BC4-0549-41E9-AF5B-D75A3219B06A}"/>
    <cellStyle name="Normal" xfId="0" builtinId="0"/>
    <cellStyle name="Normal 3" xfId="2" xr:uid="{9447ABFB-CE2B-4336-9D38-200ABB93B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ernandezy/Desktop/Codigo%20SNIP/2.%20POZOS%20G.H%20Y%20CENTRoS%20SERV.%2023-8-24/Distrito%20Munipal%20de%20Veragua/Presupuesto%20Ampliacion%20de%20Redes%20D.M%20Veragua/Los%20Cocos%20&#216;%203-%20Presupuesto%20Ampliacion%20Redes.xlsx" TargetMode="External"/><Relationship Id="rId1" Type="http://schemas.openxmlformats.org/officeDocument/2006/relationships/externalLinkPath" Target="/Users/hernandezy/Desktop/Codigo%20SNIP/2.%20POZOS%20G.H%20Y%20CENTRoS%20SERV.%2023-8-24/Distrito%20Munipal%20de%20Veragua/Presupuesto%20Ampliacion%20de%20Redes%20D.M%20Veragua/Los%20Cocos%20&#216;%203-%20Presupuesto%20Ampliacion%20Red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ernandezy/Desktop/Codigo%20SNIP/2.%20POZOS%20G.H%20Y%20CENTRoS%20SERV.%2023-8-24/Distrito%20Munipal%20de%20Veragua/Presupuesto%20Ampliacion%20de%20Redes%20D.M%20Veragua/Ca&#241;o%20Dulce%20&#216;%202-%20Presupuesto%20Ampliacion%20Redes.xlsx" TargetMode="External"/><Relationship Id="rId1" Type="http://schemas.openxmlformats.org/officeDocument/2006/relationships/externalLinkPath" Target="/Users/hernandezy/Desktop/Codigo%20SNIP/2.%20POZOS%20G.H%20Y%20CENTRoS%20SERV.%2023-8-24/Distrito%20Munipal%20de%20Veragua/Presupuesto%20Ampliacion%20de%20Redes%20D.M%20Veragua/Ca&#241;o%20Dulce%20&#216;%202-%20Presupuesto%20Ampliacion%20Red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ernandezy/Desktop/Codigo%20SNIP/2.%20POZOS%20G.H%20Y%20CENTRoS%20SERV.%2023-8-24/Presu.%20Pozos%202m%20G.H.xlsx" TargetMode="External"/><Relationship Id="rId1" Type="http://schemas.openxmlformats.org/officeDocument/2006/relationships/externalLinkPath" Target="/Users/hernandezy/Desktop/Codigo%20SNIP/2.%20POZOS%20G.H%20Y%20CENTRoS%20SERV.%2023-8-24/Presu.%20Pozos%202m%20G.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cha Tecnica"/>
      <sheetName val="EQUIPOS Y MOV TIERRAS (2)"/>
      <sheetName val="EQUIPOS Y MOV TIERRAS"/>
      <sheetName val="ANALISIS DE COSTOS (2)"/>
      <sheetName val="valvulas "/>
      <sheetName val="tuberias "/>
      <sheetName val="Ampliacion de Redes"/>
      <sheetName val="PRESUPUEST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2">
          <cell r="G42">
            <v>2810700.0185658624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OS Y MOV TIERRAS (2)"/>
      <sheetName val="EQUIPOS Y MOV TIERRAS"/>
      <sheetName val="ANALISIS DE COSTOS (2)"/>
      <sheetName val="valvulas "/>
      <sheetName val="tuberias "/>
      <sheetName val="Ampliacion de Redes"/>
      <sheetName val="PRESUPUEST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4">
          <cell r="G44">
            <v>572688.8888798363</v>
          </cell>
        </row>
      </sheetData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upuesto Las Colinas"/>
      <sheetName val="LISTA MATERIALES"/>
      <sheetName val="Presupuesto Las Colinas 5%"/>
      <sheetName val="Presup. la Cigua G.H"/>
      <sheetName val="Presup. Caño Dulce V"/>
      <sheetName val="Presup. Los Mangos V.M"/>
      <sheetName val="Presup. Vereda al Medio V.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2">
          <cell r="G92">
            <v>3126304.2513624178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A4F1-9548-4F59-B987-9B4772EBE5C3}">
  <sheetPr>
    <tabColor rgb="FF00B0F0"/>
  </sheetPr>
  <dimension ref="A1:FSY206"/>
  <sheetViews>
    <sheetView tabSelected="1" topLeftCell="A193" zoomScale="87" zoomScaleNormal="87" workbookViewId="0">
      <selection activeCell="B190" sqref="B190"/>
    </sheetView>
  </sheetViews>
  <sheetFormatPr baseColWidth="10" defaultColWidth="44.33203125" defaultRowHeight="15.6" x14ac:dyDescent="0.3"/>
  <cols>
    <col min="1" max="1" width="5.109375" style="22" customWidth="1"/>
    <col min="2" max="2" width="31.44140625" style="22" bestFit="1" customWidth="1"/>
    <col min="3" max="3" width="48" style="22" bestFit="1" customWidth="1"/>
    <col min="4" max="4" width="11" style="22" bestFit="1" customWidth="1"/>
    <col min="5" max="5" width="9.21875" style="22" bestFit="1" customWidth="1"/>
    <col min="6" max="6" width="44.109375" style="22" bestFit="1" customWidth="1"/>
    <col min="7" max="7" width="44" style="22" bestFit="1" customWidth="1"/>
    <col min="8" max="8" width="16.88671875" style="77" bestFit="1" customWidth="1"/>
    <col min="9" max="9" width="26" style="77" bestFit="1" customWidth="1"/>
    <col min="10" max="10" width="19.44140625" style="102" bestFit="1" customWidth="1"/>
    <col min="11" max="11" width="29.88671875" style="77" customWidth="1"/>
    <col min="12" max="12" width="15.88671875" style="77" bestFit="1" customWidth="1"/>
    <col min="13" max="13" width="17.44140625" style="77" bestFit="1" customWidth="1"/>
    <col min="14" max="14" width="16.44140625" style="77" bestFit="1" customWidth="1"/>
    <col min="15" max="15" width="16.109375" style="77" bestFit="1" customWidth="1"/>
    <col min="16" max="17" width="16" style="77" bestFit="1" customWidth="1"/>
    <col min="18" max="18" width="16" style="77" customWidth="1"/>
    <col min="19" max="19" width="17.109375" style="77" customWidth="1"/>
    <col min="20" max="20" width="16.44140625" style="77" customWidth="1"/>
    <col min="21" max="21" width="16.109375" style="77" customWidth="1"/>
    <col min="22" max="22" width="15.88671875" style="76" bestFit="1" customWidth="1"/>
    <col min="23" max="23" width="16.33203125" style="77" bestFit="1" customWidth="1"/>
    <col min="24" max="24" width="25" style="22" bestFit="1" customWidth="1"/>
    <col min="25" max="16384" width="44.33203125" style="22"/>
  </cols>
  <sheetData>
    <row r="1" spans="1:26" ht="16.2" thickBot="1" x14ac:dyDescent="0.35">
      <c r="E1" s="415" t="s">
        <v>143</v>
      </c>
      <c r="F1" s="416"/>
      <c r="G1" s="416"/>
      <c r="H1" s="416"/>
      <c r="I1" s="417"/>
    </row>
    <row r="2" spans="1:26" ht="16.2" thickBot="1" x14ac:dyDescent="0.35">
      <c r="E2" s="418" t="s">
        <v>129</v>
      </c>
      <c r="F2" s="419"/>
      <c r="G2" s="419"/>
      <c r="H2" s="74"/>
      <c r="I2" s="78"/>
    </row>
    <row r="3" spans="1:26" ht="31.8" thickBot="1" x14ac:dyDescent="0.35">
      <c r="A3" s="120"/>
      <c r="B3" s="380"/>
      <c r="C3" s="121"/>
      <c r="D3" s="121" t="s">
        <v>161</v>
      </c>
      <c r="E3" s="121" t="s">
        <v>1</v>
      </c>
      <c r="F3" s="121" t="s">
        <v>2</v>
      </c>
      <c r="G3" s="121" t="s">
        <v>3</v>
      </c>
      <c r="H3" s="122" t="s">
        <v>4</v>
      </c>
      <c r="I3" s="122" t="s">
        <v>5</v>
      </c>
      <c r="J3" s="123" t="s">
        <v>131</v>
      </c>
      <c r="K3" s="122" t="s">
        <v>145</v>
      </c>
      <c r="L3" s="124">
        <v>0.2</v>
      </c>
      <c r="M3" s="122" t="s">
        <v>132</v>
      </c>
      <c r="N3" s="122" t="s">
        <v>133</v>
      </c>
      <c r="O3" s="122" t="s">
        <v>134</v>
      </c>
      <c r="P3" s="122" t="s">
        <v>135</v>
      </c>
      <c r="Q3" s="122" t="s">
        <v>136</v>
      </c>
      <c r="R3" s="122" t="s">
        <v>137</v>
      </c>
      <c r="S3" s="122" t="s">
        <v>138</v>
      </c>
      <c r="T3" s="122" t="s">
        <v>139</v>
      </c>
      <c r="U3" s="121" t="s">
        <v>140</v>
      </c>
      <c r="V3" s="122" t="s">
        <v>144</v>
      </c>
      <c r="W3" s="125" t="s">
        <v>141</v>
      </c>
      <c r="X3" s="56" t="s">
        <v>160</v>
      </c>
    </row>
    <row r="4" spans="1:26" ht="47.4" thickBot="1" x14ac:dyDescent="0.35">
      <c r="A4" s="47"/>
      <c r="B4" s="384"/>
      <c r="C4" s="40"/>
      <c r="D4" s="40" t="s">
        <v>165</v>
      </c>
      <c r="E4" s="1">
        <v>1</v>
      </c>
      <c r="F4" s="10" t="s">
        <v>7</v>
      </c>
      <c r="G4" s="2" t="s">
        <v>8</v>
      </c>
      <c r="H4" s="23">
        <v>685</v>
      </c>
      <c r="I4" s="46">
        <v>9722987.5173045583</v>
      </c>
      <c r="J4" s="79">
        <v>0</v>
      </c>
      <c r="K4" s="79">
        <f>I4-J4</f>
        <v>9722987.5173045583</v>
      </c>
      <c r="L4" s="79">
        <f>J4*20%</f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f>SUM(M4:T4)</f>
        <v>0</v>
      </c>
      <c r="V4" s="80">
        <f>L4+U4</f>
        <v>0</v>
      </c>
      <c r="W4" s="94">
        <f>J4-V4</f>
        <v>0</v>
      </c>
      <c r="X4" s="325">
        <f>K4+W4</f>
        <v>9722987.5173045583</v>
      </c>
      <c r="Y4" s="42"/>
      <c r="Z4" s="42"/>
    </row>
    <row r="5" spans="1:26" ht="63" thickBot="1" x14ac:dyDescent="0.35">
      <c r="A5" s="47"/>
      <c r="B5" s="384"/>
      <c r="C5" s="40"/>
      <c r="D5" s="40" t="s">
        <v>142</v>
      </c>
      <c r="E5" s="1">
        <v>0</v>
      </c>
      <c r="F5" s="10" t="s">
        <v>130</v>
      </c>
      <c r="G5" s="2" t="s">
        <v>9</v>
      </c>
      <c r="H5" s="23" t="s">
        <v>9</v>
      </c>
      <c r="I5" s="315">
        <v>34836950.200000003</v>
      </c>
      <c r="J5" s="79">
        <v>0</v>
      </c>
      <c r="K5" s="79">
        <f t="shared" ref="K5:K8" si="0">I5-J5</f>
        <v>34836950.200000003</v>
      </c>
      <c r="L5" s="79">
        <f t="shared" ref="L5:L6" si="1">J5*20%</f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79">
        <v>0</v>
      </c>
      <c r="T5" s="79">
        <v>0</v>
      </c>
      <c r="U5" s="79">
        <f t="shared" ref="U5:U6" si="2">SUM(M5:T5)</f>
        <v>0</v>
      </c>
      <c r="V5" s="80">
        <f t="shared" ref="V5:V6" si="3">L5+U5</f>
        <v>0</v>
      </c>
      <c r="W5" s="94">
        <f t="shared" ref="W5:W6" si="4">J5-V5</f>
        <v>0</v>
      </c>
      <c r="X5" s="325">
        <f t="shared" ref="X5:X6" si="5">K5+W5</f>
        <v>34836950.200000003</v>
      </c>
    </row>
    <row r="6" spans="1:26" ht="66.75" customHeight="1" thickBot="1" x14ac:dyDescent="0.35">
      <c r="A6" s="48"/>
      <c r="B6" s="388"/>
      <c r="C6" s="308"/>
      <c r="D6" s="308" t="s">
        <v>165</v>
      </c>
      <c r="E6" s="49">
        <v>3</v>
      </c>
      <c r="F6" s="309" t="s">
        <v>10</v>
      </c>
      <c r="G6" s="310" t="s">
        <v>11</v>
      </c>
      <c r="H6" s="311">
        <v>7473</v>
      </c>
      <c r="I6" s="312">
        <v>5754824.6899999995</v>
      </c>
      <c r="J6" s="313">
        <v>0</v>
      </c>
      <c r="K6" s="313">
        <f t="shared" si="0"/>
        <v>5754824.6899999995</v>
      </c>
      <c r="L6" s="313">
        <f t="shared" si="1"/>
        <v>0</v>
      </c>
      <c r="M6" s="313">
        <v>0</v>
      </c>
      <c r="N6" s="313">
        <v>0</v>
      </c>
      <c r="O6" s="313">
        <v>0</v>
      </c>
      <c r="P6" s="313">
        <v>0</v>
      </c>
      <c r="Q6" s="313">
        <v>0</v>
      </c>
      <c r="R6" s="313">
        <v>0</v>
      </c>
      <c r="S6" s="313">
        <v>0</v>
      </c>
      <c r="T6" s="313">
        <v>0</v>
      </c>
      <c r="U6" s="313">
        <f t="shared" si="2"/>
        <v>0</v>
      </c>
      <c r="V6" s="314">
        <f t="shared" si="3"/>
        <v>0</v>
      </c>
      <c r="W6" s="293">
        <f t="shared" si="4"/>
        <v>0</v>
      </c>
      <c r="X6" s="325">
        <f t="shared" si="5"/>
        <v>5754824.6899999995</v>
      </c>
    </row>
    <row r="7" spans="1:26" ht="52.5" customHeight="1" thickBot="1" x14ac:dyDescent="0.35">
      <c r="E7" s="32"/>
      <c r="F7" s="300"/>
      <c r="G7" s="301"/>
      <c r="H7" s="302"/>
      <c r="I7" s="303"/>
      <c r="J7" s="304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6"/>
      <c r="W7" s="307"/>
    </row>
    <row r="8" spans="1:26" ht="46.8" x14ac:dyDescent="0.3">
      <c r="C8" s="120"/>
      <c r="D8" s="120" t="s">
        <v>165</v>
      </c>
      <c r="E8" s="316">
        <v>4</v>
      </c>
      <c r="F8" s="317" t="s">
        <v>12</v>
      </c>
      <c r="G8" s="318" t="s">
        <v>13</v>
      </c>
      <c r="H8" s="319">
        <f>2140+2000</f>
        <v>4140</v>
      </c>
      <c r="I8" s="320">
        <v>21401480.720227614</v>
      </c>
      <c r="J8" s="321">
        <v>0</v>
      </c>
      <c r="K8" s="322">
        <f t="shared" si="0"/>
        <v>21401480.720227614</v>
      </c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</row>
    <row r="9" spans="1:26" ht="16.2" thickBot="1" x14ac:dyDescent="0.35">
      <c r="C9" s="128"/>
      <c r="D9" s="381"/>
      <c r="E9" s="126"/>
      <c r="F9" s="421"/>
      <c r="G9" s="421"/>
      <c r="H9" s="127">
        <f>SUM(H4:H8)</f>
        <v>12298</v>
      </c>
      <c r="I9" s="129">
        <f>SUM(I4:I8)</f>
        <v>71716243.127532169</v>
      </c>
      <c r="J9" s="130">
        <f t="shared" ref="J9" si="6">SUM(J4:J8)</f>
        <v>0</v>
      </c>
      <c r="K9" s="131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</row>
    <row r="10" spans="1:26" ht="16.2" thickBot="1" x14ac:dyDescent="0.35">
      <c r="E10" s="423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</row>
    <row r="11" spans="1:26" ht="31.8" thickBot="1" x14ac:dyDescent="0.35">
      <c r="C11" s="52"/>
      <c r="D11" s="382"/>
      <c r="E11" s="53" t="s">
        <v>172</v>
      </c>
      <c r="F11" s="408" t="s">
        <v>15</v>
      </c>
      <c r="G11" s="408"/>
      <c r="H11" s="54" t="s">
        <v>4</v>
      </c>
      <c r="I11" s="54" t="s">
        <v>5</v>
      </c>
      <c r="J11" s="103" t="s">
        <v>131</v>
      </c>
      <c r="K11" s="54" t="s">
        <v>145</v>
      </c>
      <c r="L11" s="55">
        <v>0.2</v>
      </c>
      <c r="M11" s="54" t="s">
        <v>132</v>
      </c>
      <c r="N11" s="54" t="s">
        <v>133</v>
      </c>
      <c r="O11" s="54" t="s">
        <v>134</v>
      </c>
      <c r="P11" s="54" t="s">
        <v>135</v>
      </c>
      <c r="Q11" s="54" t="s">
        <v>136</v>
      </c>
      <c r="R11" s="54" t="s">
        <v>137</v>
      </c>
      <c r="S11" s="54" t="s">
        <v>138</v>
      </c>
      <c r="T11" s="54" t="s">
        <v>139</v>
      </c>
      <c r="U11" s="53" t="s">
        <v>140</v>
      </c>
      <c r="V11" s="54" t="s">
        <v>144</v>
      </c>
      <c r="W11" s="56" t="s">
        <v>141</v>
      </c>
      <c r="X11" s="269" t="s">
        <v>160</v>
      </c>
    </row>
    <row r="12" spans="1:26" x14ac:dyDescent="0.3">
      <c r="C12" s="51"/>
      <c r="D12" s="383"/>
      <c r="E12" s="19">
        <v>1</v>
      </c>
      <c r="F12" s="41" t="s">
        <v>16</v>
      </c>
      <c r="G12" s="41" t="s">
        <v>17</v>
      </c>
      <c r="H12" s="26">
        <v>315</v>
      </c>
      <c r="I12" s="5">
        <f>1091857.75797895+230310.51</f>
        <v>1322168.2679789499</v>
      </c>
      <c r="J12" s="104">
        <v>0</v>
      </c>
      <c r="K12" s="84">
        <f>I12-J12</f>
        <v>1322168.2679789499</v>
      </c>
      <c r="L12" s="82">
        <f>J12*20%</f>
        <v>0</v>
      </c>
      <c r="M12" s="83">
        <v>0</v>
      </c>
      <c r="N12" s="82">
        <v>0</v>
      </c>
      <c r="O12" s="82">
        <v>0</v>
      </c>
      <c r="P12" s="82"/>
      <c r="Q12" s="82"/>
      <c r="R12" s="82"/>
      <c r="S12" s="82"/>
      <c r="T12" s="82"/>
      <c r="U12" s="84">
        <f>SUM(M12:T12)</f>
        <v>0</v>
      </c>
      <c r="V12" s="85">
        <f>L12+U12</f>
        <v>0</v>
      </c>
      <c r="W12" s="86">
        <f>J12-V12</f>
        <v>0</v>
      </c>
      <c r="X12" s="328">
        <f t="shared" ref="X12:X15" si="7">K12-W12</f>
        <v>1322168.2679789499</v>
      </c>
    </row>
    <row r="13" spans="1:26" x14ac:dyDescent="0.3">
      <c r="C13" s="47"/>
      <c r="D13" s="384"/>
      <c r="E13" s="6">
        <v>2</v>
      </c>
      <c r="F13" s="7" t="s">
        <v>16</v>
      </c>
      <c r="G13" s="7" t="s">
        <v>18</v>
      </c>
      <c r="H13" s="27">
        <v>200</v>
      </c>
      <c r="I13" s="3">
        <f>1139188.52160221+230310.51</f>
        <v>1369499.0316022099</v>
      </c>
      <c r="J13" s="105">
        <v>0</v>
      </c>
      <c r="K13" s="79">
        <f t="shared" ref="K13:K15" si="8">I13-J13</f>
        <v>1369499.0316022099</v>
      </c>
      <c r="L13" s="81">
        <f t="shared" ref="L13:L15" si="9">J13*20%</f>
        <v>0</v>
      </c>
      <c r="M13" s="87">
        <v>0</v>
      </c>
      <c r="N13" s="81">
        <v>0</v>
      </c>
      <c r="O13" s="81"/>
      <c r="P13" s="81"/>
      <c r="Q13" s="81"/>
      <c r="R13" s="81"/>
      <c r="S13" s="81"/>
      <c r="T13" s="81"/>
      <c r="U13" s="79">
        <f t="shared" ref="U13:U15" si="10">SUM(M13:T13)</f>
        <v>0</v>
      </c>
      <c r="V13" s="88"/>
      <c r="W13" s="94">
        <f t="shared" ref="W13:W15" si="11">J13-V13</f>
        <v>0</v>
      </c>
      <c r="X13" s="328">
        <f t="shared" si="7"/>
        <v>1369499.0316022099</v>
      </c>
    </row>
    <row r="14" spans="1:26" x14ac:dyDescent="0.3">
      <c r="C14" s="47"/>
      <c r="D14" s="384"/>
      <c r="E14" s="6">
        <v>3</v>
      </c>
      <c r="F14" s="7" t="s">
        <v>16</v>
      </c>
      <c r="G14" s="7" t="s">
        <v>19</v>
      </c>
      <c r="H14" s="27">
        <v>225</v>
      </c>
      <c r="I14" s="3">
        <f>1052986.43+230310.51</f>
        <v>1283296.94</v>
      </c>
      <c r="J14" s="105">
        <v>0</v>
      </c>
      <c r="K14" s="79">
        <f t="shared" si="8"/>
        <v>1283296.94</v>
      </c>
      <c r="L14" s="81">
        <f t="shared" si="9"/>
        <v>0</v>
      </c>
      <c r="M14" s="87">
        <v>0</v>
      </c>
      <c r="N14" s="81">
        <v>0</v>
      </c>
      <c r="O14" s="81"/>
      <c r="P14" s="81"/>
      <c r="Q14" s="81"/>
      <c r="R14" s="81"/>
      <c r="S14" s="81"/>
      <c r="T14" s="81"/>
      <c r="U14" s="79">
        <f t="shared" si="10"/>
        <v>0</v>
      </c>
      <c r="V14" s="88"/>
      <c r="W14" s="94">
        <f t="shared" si="11"/>
        <v>0</v>
      </c>
      <c r="X14" s="328">
        <f t="shared" si="7"/>
        <v>1283296.94</v>
      </c>
    </row>
    <row r="15" spans="1:26" ht="16.2" thickBot="1" x14ac:dyDescent="0.35">
      <c r="C15" s="57"/>
      <c r="D15" s="385"/>
      <c r="E15" s="21">
        <v>4</v>
      </c>
      <c r="F15" s="29" t="s">
        <v>16</v>
      </c>
      <c r="G15" s="29" t="s">
        <v>20</v>
      </c>
      <c r="H15" s="24">
        <v>800</v>
      </c>
      <c r="I15" s="25">
        <f>3134268.63+230310.51</f>
        <v>3364579.1399999997</v>
      </c>
      <c r="J15" s="106">
        <v>0</v>
      </c>
      <c r="K15" s="91">
        <f t="shared" si="8"/>
        <v>3364579.1399999997</v>
      </c>
      <c r="L15" s="89">
        <f t="shared" si="9"/>
        <v>0</v>
      </c>
      <c r="M15" s="90">
        <v>0</v>
      </c>
      <c r="N15" s="89">
        <v>0</v>
      </c>
      <c r="O15" s="89"/>
      <c r="P15" s="89"/>
      <c r="Q15" s="89"/>
      <c r="R15" s="89"/>
      <c r="S15" s="89"/>
      <c r="T15" s="89"/>
      <c r="U15" s="91">
        <f t="shared" si="10"/>
        <v>0</v>
      </c>
      <c r="V15" s="92"/>
      <c r="W15" s="132">
        <f t="shared" si="11"/>
        <v>0</v>
      </c>
      <c r="X15" s="328">
        <f t="shared" si="7"/>
        <v>3364579.1399999997</v>
      </c>
    </row>
    <row r="16" spans="1:26" s="31" customFormat="1" ht="16.2" thickBot="1" x14ac:dyDescent="0.35">
      <c r="C16" s="133"/>
      <c r="D16" s="386"/>
      <c r="E16" s="134"/>
      <c r="F16" s="422"/>
      <c r="G16" s="422"/>
      <c r="H16" s="135">
        <f>SUM(H12:H15)</f>
        <v>1540</v>
      </c>
      <c r="I16" s="136">
        <f>SUM(I12:I15)</f>
        <v>7339543.379581159</v>
      </c>
      <c r="J16" s="137">
        <f>SUM(J12:J15)</f>
        <v>0</v>
      </c>
      <c r="K16" s="138">
        <f t="shared" ref="K16:M16" si="12">SUM(K12:K15)</f>
        <v>7339543.379581159</v>
      </c>
      <c r="L16" s="138">
        <f t="shared" si="12"/>
        <v>0</v>
      </c>
      <c r="M16" s="138">
        <f t="shared" si="12"/>
        <v>0</v>
      </c>
      <c r="N16" s="138">
        <f>SUM(N12:N15)</f>
        <v>0</v>
      </c>
      <c r="O16" s="138">
        <f t="shared" ref="O16:X16" si="13">SUM(O12:O15)</f>
        <v>0</v>
      </c>
      <c r="P16" s="138">
        <f t="shared" si="13"/>
        <v>0</v>
      </c>
      <c r="Q16" s="138">
        <f t="shared" si="13"/>
        <v>0</v>
      </c>
      <c r="R16" s="138">
        <f t="shared" si="13"/>
        <v>0</v>
      </c>
      <c r="S16" s="138">
        <f t="shared" si="13"/>
        <v>0</v>
      </c>
      <c r="T16" s="138">
        <f t="shared" si="13"/>
        <v>0</v>
      </c>
      <c r="U16" s="138">
        <f>SUM(U12:U15)</f>
        <v>0</v>
      </c>
      <c r="V16" s="138">
        <f t="shared" si="13"/>
        <v>0</v>
      </c>
      <c r="W16" s="139">
        <f t="shared" si="13"/>
        <v>0</v>
      </c>
      <c r="X16" s="139">
        <f t="shared" si="13"/>
        <v>7339543.379581159</v>
      </c>
    </row>
    <row r="17" spans="3:24" ht="31.8" thickBot="1" x14ac:dyDescent="0.35">
      <c r="C17" s="115"/>
      <c r="D17" s="115"/>
      <c r="E17" s="116" t="s">
        <v>173</v>
      </c>
      <c r="F17" s="420" t="s">
        <v>27</v>
      </c>
      <c r="G17" s="420"/>
      <c r="H17" s="117" t="s">
        <v>4</v>
      </c>
      <c r="I17" s="117" t="s">
        <v>5</v>
      </c>
      <c r="J17" s="118" t="s">
        <v>131</v>
      </c>
      <c r="K17" s="117" t="s">
        <v>145</v>
      </c>
      <c r="L17" s="119">
        <v>0.2</v>
      </c>
      <c r="M17" s="117" t="s">
        <v>132</v>
      </c>
      <c r="N17" s="117" t="s">
        <v>133</v>
      </c>
      <c r="O17" s="117" t="s">
        <v>134</v>
      </c>
      <c r="P17" s="117" t="s">
        <v>135</v>
      </c>
      <c r="Q17" s="117" t="s">
        <v>136</v>
      </c>
      <c r="R17" s="117" t="s">
        <v>137</v>
      </c>
      <c r="S17" s="117" t="s">
        <v>138</v>
      </c>
      <c r="T17" s="117" t="s">
        <v>139</v>
      </c>
      <c r="U17" s="116" t="s">
        <v>140</v>
      </c>
      <c r="V17" s="117" t="s">
        <v>144</v>
      </c>
      <c r="W17" s="117" t="s">
        <v>141</v>
      </c>
      <c r="X17" s="269" t="s">
        <v>160</v>
      </c>
    </row>
    <row r="18" spans="3:24" x14ac:dyDescent="0.3">
      <c r="C18" s="40"/>
      <c r="D18" s="40"/>
      <c r="E18" s="6">
        <v>1</v>
      </c>
      <c r="F18" s="7" t="s">
        <v>16</v>
      </c>
      <c r="G18" s="7" t="s">
        <v>28</v>
      </c>
      <c r="H18" s="27">
        <v>200</v>
      </c>
      <c r="I18" s="3">
        <f>1670185.19+230310.51</f>
        <v>1900495.7</v>
      </c>
      <c r="J18" s="105">
        <v>0</v>
      </c>
      <c r="K18" s="79">
        <f>I18-J18</f>
        <v>1900495.7</v>
      </c>
      <c r="L18" s="81">
        <f>J18*20%</f>
        <v>0</v>
      </c>
      <c r="M18" s="87">
        <v>0</v>
      </c>
      <c r="N18" s="81"/>
      <c r="O18" s="81"/>
      <c r="P18" s="81"/>
      <c r="Q18" s="81"/>
      <c r="R18" s="81"/>
      <c r="S18" s="81"/>
      <c r="T18" s="81"/>
      <c r="U18" s="79">
        <f>SUM(M18:T18)</f>
        <v>0</v>
      </c>
      <c r="V18" s="80">
        <f>L18+U18</f>
        <v>0</v>
      </c>
      <c r="W18" s="81">
        <f>I18-V18</f>
        <v>1900495.7</v>
      </c>
      <c r="X18" s="328">
        <f t="shared" ref="X18:X19" si="14">K18-W18</f>
        <v>0</v>
      </c>
    </row>
    <row r="19" spans="3:24" ht="16.2" thickBot="1" x14ac:dyDescent="0.35">
      <c r="C19" s="140"/>
      <c r="D19" s="140"/>
      <c r="E19" s="21">
        <v>2</v>
      </c>
      <c r="F19" s="29" t="s">
        <v>16</v>
      </c>
      <c r="G19" s="29" t="s">
        <v>29</v>
      </c>
      <c r="H19" s="24">
        <v>400</v>
      </c>
      <c r="I19" s="25">
        <f>2807929.55+230310.51</f>
        <v>3038240.0599999996</v>
      </c>
      <c r="J19" s="141"/>
      <c r="K19" s="91">
        <f>I19-J19</f>
        <v>3038240.0599999996</v>
      </c>
      <c r="L19" s="89">
        <f>J19*20%</f>
        <v>0</v>
      </c>
      <c r="M19" s="142"/>
      <c r="N19" s="96"/>
      <c r="O19" s="97"/>
      <c r="P19" s="97"/>
      <c r="Q19" s="97"/>
      <c r="R19" s="97"/>
      <c r="S19" s="97"/>
      <c r="T19" s="97"/>
      <c r="U19" s="91">
        <f>SUM(M19:T19)</f>
        <v>0</v>
      </c>
      <c r="V19" s="143">
        <f>L19+U19</f>
        <v>0</v>
      </c>
      <c r="W19" s="89">
        <f>I19-V19</f>
        <v>3038240.0599999996</v>
      </c>
      <c r="X19" s="328">
        <f t="shared" si="14"/>
        <v>0</v>
      </c>
    </row>
    <row r="20" spans="3:24" s="31" customFormat="1" ht="16.2" thickBot="1" x14ac:dyDescent="0.35">
      <c r="C20" s="133"/>
      <c r="D20" s="386"/>
      <c r="E20" s="145"/>
      <c r="F20" s="145"/>
      <c r="G20" s="145"/>
      <c r="H20" s="146">
        <f>SUM(H18:H19)</f>
        <v>600</v>
      </c>
      <c r="I20" s="136">
        <f>SUM(I18:I19)</f>
        <v>4938735.76</v>
      </c>
      <c r="J20" s="147">
        <f>SUM(J18:J19)</f>
        <v>0</v>
      </c>
      <c r="K20" s="148">
        <f>SUM(K18:K19)</f>
        <v>4938735.76</v>
      </c>
      <c r="L20" s="148">
        <f t="shared" ref="L20:X20" si="15">SUM(L18:L19)</f>
        <v>0</v>
      </c>
      <c r="M20" s="148">
        <f t="shared" si="15"/>
        <v>0</v>
      </c>
      <c r="N20" s="148">
        <f t="shared" si="15"/>
        <v>0</v>
      </c>
      <c r="O20" s="148">
        <f t="shared" si="15"/>
        <v>0</v>
      </c>
      <c r="P20" s="148">
        <f t="shared" si="15"/>
        <v>0</v>
      </c>
      <c r="Q20" s="148">
        <f t="shared" si="15"/>
        <v>0</v>
      </c>
      <c r="R20" s="148">
        <f t="shared" si="15"/>
        <v>0</v>
      </c>
      <c r="S20" s="148">
        <f t="shared" si="15"/>
        <v>0</v>
      </c>
      <c r="T20" s="148">
        <f t="shared" si="15"/>
        <v>0</v>
      </c>
      <c r="U20" s="148">
        <f t="shared" si="15"/>
        <v>0</v>
      </c>
      <c r="V20" s="148">
        <f t="shared" si="15"/>
        <v>0</v>
      </c>
      <c r="W20" s="149">
        <f t="shared" si="15"/>
        <v>4938735.76</v>
      </c>
      <c r="X20" s="149">
        <f t="shared" si="15"/>
        <v>0</v>
      </c>
    </row>
    <row r="21" spans="3:24" ht="31.8" thickBot="1" x14ac:dyDescent="0.35">
      <c r="C21" s="115"/>
      <c r="D21" s="115"/>
      <c r="E21" s="116" t="s">
        <v>174</v>
      </c>
      <c r="F21" s="144" t="s">
        <v>22</v>
      </c>
      <c r="G21" s="144"/>
      <c r="H21" s="117" t="s">
        <v>4</v>
      </c>
      <c r="I21" s="117" t="s">
        <v>5</v>
      </c>
      <c r="J21" s="118" t="s">
        <v>131</v>
      </c>
      <c r="K21" s="117" t="s">
        <v>145</v>
      </c>
      <c r="L21" s="119">
        <v>0.2</v>
      </c>
      <c r="M21" s="117" t="s">
        <v>132</v>
      </c>
      <c r="N21" s="117" t="s">
        <v>133</v>
      </c>
      <c r="O21" s="117" t="s">
        <v>134</v>
      </c>
      <c r="P21" s="117" t="s">
        <v>135</v>
      </c>
      <c r="Q21" s="117" t="s">
        <v>136</v>
      </c>
      <c r="R21" s="117" t="s">
        <v>137</v>
      </c>
      <c r="S21" s="117" t="s">
        <v>138</v>
      </c>
      <c r="T21" s="117" t="s">
        <v>139</v>
      </c>
      <c r="U21" s="116" t="s">
        <v>140</v>
      </c>
      <c r="V21" s="117" t="s">
        <v>144</v>
      </c>
      <c r="W21" s="117" t="s">
        <v>141</v>
      </c>
      <c r="X21" s="269" t="s">
        <v>160</v>
      </c>
    </row>
    <row r="22" spans="3:24" x14ac:dyDescent="0.3">
      <c r="C22" s="40"/>
      <c r="D22" s="40"/>
      <c r="E22" s="6">
        <v>1</v>
      </c>
      <c r="F22" s="28" t="s">
        <v>23</v>
      </c>
      <c r="G22" s="7" t="s">
        <v>24</v>
      </c>
      <c r="H22" s="27">
        <v>1000</v>
      </c>
      <c r="I22" s="3">
        <v>4561600.7837957228</v>
      </c>
      <c r="J22" s="105">
        <v>0</v>
      </c>
      <c r="K22" s="79">
        <f>I22-J22</f>
        <v>4561600.7837957228</v>
      </c>
      <c r="L22" s="81">
        <f>J22*20%</f>
        <v>0</v>
      </c>
      <c r="M22" s="87">
        <v>0</v>
      </c>
      <c r="N22" s="81"/>
      <c r="O22" s="81"/>
      <c r="P22" s="81"/>
      <c r="Q22" s="81"/>
      <c r="R22" s="81"/>
      <c r="S22" s="81"/>
      <c r="T22" s="81"/>
      <c r="U22" s="79">
        <f>SUM(M22:T22)</f>
        <v>0</v>
      </c>
      <c r="V22" s="80">
        <f>L22+U22</f>
        <v>0</v>
      </c>
      <c r="W22" s="81">
        <f>I22-V22</f>
        <v>4561600.7837957228</v>
      </c>
      <c r="X22" s="328">
        <f t="shared" ref="X22:X23" si="16">K22-W22</f>
        <v>0</v>
      </c>
    </row>
    <row r="23" spans="3:24" ht="16.2" thickBot="1" x14ac:dyDescent="0.35">
      <c r="C23" s="140"/>
      <c r="D23" s="140"/>
      <c r="E23" s="21">
        <v>2</v>
      </c>
      <c r="F23" s="150" t="s">
        <v>25</v>
      </c>
      <c r="G23" s="29" t="s">
        <v>24</v>
      </c>
      <c r="H23" s="24">
        <v>1000</v>
      </c>
      <c r="I23" s="25">
        <v>4561600.7837957228</v>
      </c>
      <c r="J23" s="141"/>
      <c r="K23" s="91">
        <f>I23-J23</f>
        <v>4561600.7837957228</v>
      </c>
      <c r="L23" s="89">
        <f>J23*20%</f>
        <v>0</v>
      </c>
      <c r="M23" s="142"/>
      <c r="N23" s="151"/>
      <c r="O23" s="97"/>
      <c r="P23" s="97"/>
      <c r="Q23" s="97"/>
      <c r="R23" s="97"/>
      <c r="S23" s="97"/>
      <c r="T23" s="97"/>
      <c r="U23" s="91">
        <f>SUM(M23:T23)</f>
        <v>0</v>
      </c>
      <c r="V23" s="143">
        <f>L23+U23</f>
        <v>0</v>
      </c>
      <c r="W23" s="89">
        <f t="shared" ref="W23" si="17">I23-V23</f>
        <v>4561600.7837957228</v>
      </c>
      <c r="X23" s="328">
        <f t="shared" si="16"/>
        <v>0</v>
      </c>
    </row>
    <row r="24" spans="3:24" ht="16.2" thickBot="1" x14ac:dyDescent="0.35">
      <c r="C24" s="152"/>
      <c r="D24" s="387"/>
      <c r="E24" s="134"/>
      <c r="F24" s="153"/>
      <c r="G24" s="154"/>
      <c r="H24" s="146">
        <f>SUM(H22:H23)</f>
        <v>2000</v>
      </c>
      <c r="I24" s="136">
        <f>SUM(I22:I23)</f>
        <v>9123201.5675914455</v>
      </c>
      <c r="J24" s="155">
        <f t="shared" ref="J24:X24" si="18">SUM(J22:J23)</f>
        <v>0</v>
      </c>
      <c r="K24" s="136">
        <f>SUM(K22:K23)</f>
        <v>9123201.5675914455</v>
      </c>
      <c r="L24" s="136">
        <f t="shared" si="18"/>
        <v>0</v>
      </c>
      <c r="M24" s="136">
        <f t="shared" si="18"/>
        <v>0</v>
      </c>
      <c r="N24" s="136">
        <f t="shared" si="18"/>
        <v>0</v>
      </c>
      <c r="O24" s="136">
        <f t="shared" si="18"/>
        <v>0</v>
      </c>
      <c r="P24" s="136">
        <f t="shared" si="18"/>
        <v>0</v>
      </c>
      <c r="Q24" s="136">
        <f t="shared" si="18"/>
        <v>0</v>
      </c>
      <c r="R24" s="136">
        <f t="shared" si="18"/>
        <v>0</v>
      </c>
      <c r="S24" s="136">
        <f t="shared" si="18"/>
        <v>0</v>
      </c>
      <c r="T24" s="136">
        <f t="shared" si="18"/>
        <v>0</v>
      </c>
      <c r="U24" s="136">
        <f t="shared" si="18"/>
        <v>0</v>
      </c>
      <c r="V24" s="136">
        <f t="shared" si="18"/>
        <v>0</v>
      </c>
      <c r="W24" s="156">
        <f t="shared" si="18"/>
        <v>9123201.5675914455</v>
      </c>
      <c r="X24" s="156">
        <f t="shared" si="18"/>
        <v>0</v>
      </c>
    </row>
    <row r="25" spans="3:24" x14ac:dyDescent="0.3">
      <c r="E25" s="32"/>
      <c r="F25" s="113"/>
      <c r="G25" s="102"/>
      <c r="H25" s="102"/>
      <c r="I25" s="93"/>
      <c r="J25" s="114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</row>
    <row r="26" spans="3:24" s="31" customFormat="1" x14ac:dyDescent="0.3">
      <c r="E26" s="32"/>
      <c r="F26" s="175"/>
      <c r="G26" s="176"/>
      <c r="H26" s="177">
        <f>H16+H20+H24</f>
        <v>4140</v>
      </c>
      <c r="I26" s="93">
        <f>I16+I20+I24</f>
        <v>21401480.707172602</v>
      </c>
      <c r="J26" s="93">
        <f t="shared" ref="J26:X26" si="19">J16+J20+J24</f>
        <v>0</v>
      </c>
      <c r="K26" s="93">
        <f>K16+K20+K24</f>
        <v>21401480.707172602</v>
      </c>
      <c r="L26" s="93">
        <f t="shared" si="19"/>
        <v>0</v>
      </c>
      <c r="M26" s="93">
        <f t="shared" si="19"/>
        <v>0</v>
      </c>
      <c r="N26" s="93">
        <f t="shared" si="19"/>
        <v>0</v>
      </c>
      <c r="O26" s="93">
        <f t="shared" si="19"/>
        <v>0</v>
      </c>
      <c r="P26" s="93">
        <f t="shared" si="19"/>
        <v>0</v>
      </c>
      <c r="Q26" s="93">
        <f t="shared" si="19"/>
        <v>0</v>
      </c>
      <c r="R26" s="93">
        <f t="shared" si="19"/>
        <v>0</v>
      </c>
      <c r="S26" s="93">
        <f t="shared" si="19"/>
        <v>0</v>
      </c>
      <c r="T26" s="93">
        <f t="shared" si="19"/>
        <v>0</v>
      </c>
      <c r="U26" s="93">
        <f t="shared" si="19"/>
        <v>0</v>
      </c>
      <c r="V26" s="93">
        <f t="shared" si="19"/>
        <v>0</v>
      </c>
      <c r="W26" s="93">
        <f t="shared" si="19"/>
        <v>14061937.327591445</v>
      </c>
      <c r="X26" s="93">
        <f t="shared" si="19"/>
        <v>7339543.379581159</v>
      </c>
    </row>
    <row r="27" spans="3:24" x14ac:dyDescent="0.3">
      <c r="E27" s="32"/>
      <c r="F27" s="113"/>
      <c r="G27" s="102"/>
      <c r="H27" s="102"/>
      <c r="I27" s="93"/>
      <c r="J27" s="114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</row>
    <row r="28" spans="3:24" x14ac:dyDescent="0.3">
      <c r="E28" s="32"/>
      <c r="F28" s="113"/>
      <c r="G28" s="102"/>
      <c r="H28" s="102"/>
      <c r="I28" s="93"/>
      <c r="J28" s="114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</row>
    <row r="29" spans="3:24" x14ac:dyDescent="0.3">
      <c r="E29" s="32"/>
      <c r="F29" s="113"/>
      <c r="G29" s="102"/>
      <c r="H29" s="102"/>
      <c r="I29" s="93"/>
      <c r="J29" s="114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</row>
    <row r="30" spans="3:24" x14ac:dyDescent="0.3">
      <c r="G30" s="32"/>
      <c r="H30" s="32"/>
      <c r="I30" s="93"/>
      <c r="J30" s="108"/>
      <c r="K30" s="75"/>
      <c r="M30" s="75"/>
    </row>
    <row r="31" spans="3:24" x14ac:dyDescent="0.3">
      <c r="C31" s="425" t="s">
        <v>0</v>
      </c>
      <c r="D31" s="425"/>
      <c r="E31" s="425"/>
      <c r="F31" s="425"/>
      <c r="G31" s="425"/>
      <c r="H31" s="425"/>
      <c r="I31" s="425"/>
      <c r="J31" s="425"/>
      <c r="K31" s="425"/>
      <c r="L31" s="425"/>
      <c r="M31" s="425"/>
      <c r="N31" s="425"/>
      <c r="O31" s="425"/>
      <c r="P31" s="425"/>
      <c r="Q31" s="425"/>
      <c r="R31" s="425"/>
      <c r="S31" s="425"/>
      <c r="T31" s="425"/>
      <c r="U31" s="425"/>
      <c r="V31" s="425"/>
      <c r="W31" s="425"/>
    </row>
    <row r="32" spans="3:24" x14ac:dyDescent="0.3">
      <c r="C32" s="413" t="s">
        <v>30</v>
      </c>
      <c r="D32" s="413"/>
      <c r="E32" s="413"/>
      <c r="F32" s="413"/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</row>
    <row r="33" spans="1:4575" ht="16.2" thickBot="1" x14ac:dyDescent="0.35">
      <c r="C33" s="414" t="s">
        <v>129</v>
      </c>
      <c r="D33" s="414"/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14"/>
      <c r="T33" s="414"/>
      <c r="U33" s="414"/>
      <c r="V33" s="414"/>
      <c r="W33" s="414"/>
    </row>
    <row r="34" spans="1:4575" ht="31.8" thickBot="1" x14ac:dyDescent="0.35">
      <c r="C34" s="120"/>
      <c r="D34" s="380"/>
      <c r="E34" s="122" t="s">
        <v>1</v>
      </c>
      <c r="F34" s="122" t="s">
        <v>2</v>
      </c>
      <c r="G34" s="122" t="s">
        <v>3</v>
      </c>
      <c r="H34" s="122" t="s">
        <v>4</v>
      </c>
      <c r="I34" s="122" t="s">
        <v>5</v>
      </c>
      <c r="J34" s="123" t="s">
        <v>131</v>
      </c>
      <c r="K34" s="122" t="s">
        <v>145</v>
      </c>
      <c r="L34" s="124">
        <v>0.2</v>
      </c>
      <c r="M34" s="122" t="s">
        <v>132</v>
      </c>
      <c r="N34" s="122" t="s">
        <v>133</v>
      </c>
      <c r="O34" s="122" t="s">
        <v>134</v>
      </c>
      <c r="P34" s="122" t="s">
        <v>135</v>
      </c>
      <c r="Q34" s="122" t="s">
        <v>136</v>
      </c>
      <c r="R34" s="122" t="s">
        <v>137</v>
      </c>
      <c r="S34" s="122" t="s">
        <v>138</v>
      </c>
      <c r="T34" s="122" t="s">
        <v>139</v>
      </c>
      <c r="U34" s="121" t="s">
        <v>140</v>
      </c>
      <c r="V34" s="122" t="s">
        <v>144</v>
      </c>
      <c r="W34" s="125" t="s">
        <v>141</v>
      </c>
      <c r="X34" s="269" t="s">
        <v>160</v>
      </c>
    </row>
    <row r="35" spans="1:4575" ht="94.2" thickBot="1" x14ac:dyDescent="0.35">
      <c r="C35" s="48"/>
      <c r="D35" s="388"/>
      <c r="E35" s="323">
        <v>1</v>
      </c>
      <c r="F35" s="169" t="s">
        <v>31</v>
      </c>
      <c r="G35" s="50" t="s">
        <v>32</v>
      </c>
      <c r="H35" s="170">
        <f>7473+5511</f>
        <v>12984</v>
      </c>
      <c r="I35" s="324">
        <f>60346978.857162+29526473.43</f>
        <v>89873452.287162006</v>
      </c>
      <c r="J35" s="172">
        <f>J56+J70+J89+J102+J109+J117+J120+J123+J126</f>
        <v>83544598.950000018</v>
      </c>
      <c r="K35" s="172">
        <f t="shared" ref="K35:U35" si="20">K56+K70+K89+K102+K109+K117+K120+K123+K126</f>
        <v>6328853.3356532697</v>
      </c>
      <c r="L35" s="172">
        <f t="shared" si="20"/>
        <v>14306208.782</v>
      </c>
      <c r="M35" s="172">
        <f t="shared" si="20"/>
        <v>0</v>
      </c>
      <c r="N35" s="172">
        <f t="shared" si="20"/>
        <v>0</v>
      </c>
      <c r="O35" s="172">
        <f t="shared" si="20"/>
        <v>0</v>
      </c>
      <c r="P35" s="172">
        <f t="shared" si="20"/>
        <v>0</v>
      </c>
      <c r="Q35" s="172">
        <f t="shared" si="20"/>
        <v>0</v>
      </c>
      <c r="R35" s="172">
        <f t="shared" si="20"/>
        <v>0</v>
      </c>
      <c r="S35" s="172">
        <f t="shared" si="20"/>
        <v>0</v>
      </c>
      <c r="T35" s="172">
        <f t="shared" si="20"/>
        <v>0</v>
      </c>
      <c r="U35" s="172">
        <f t="shared" si="20"/>
        <v>0</v>
      </c>
      <c r="V35" s="173">
        <f>L35+U35</f>
        <v>14306208.782</v>
      </c>
      <c r="W35" s="174">
        <f>J35-V35</f>
        <v>69238390.168000013</v>
      </c>
      <c r="X35" s="325">
        <f>K35+W35</f>
        <v>75567243.503653288</v>
      </c>
      <c r="Y35" s="42"/>
    </row>
    <row r="36" spans="1:4575" x14ac:dyDescent="0.3">
      <c r="E36" s="32"/>
      <c r="F36" s="157"/>
      <c r="G36" s="158"/>
      <c r="H36" s="159"/>
      <c r="I36" s="93"/>
      <c r="J36" s="160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2"/>
      <c r="V36" s="162"/>
      <c r="W36" s="161"/>
    </row>
    <row r="37" spans="1:4575" ht="16.2" thickBot="1" x14ac:dyDescent="0.35">
      <c r="E37" s="32"/>
      <c r="F37" s="157"/>
      <c r="G37" s="158"/>
      <c r="H37" s="159"/>
      <c r="I37" s="93"/>
      <c r="J37" s="160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2"/>
      <c r="V37" s="162"/>
      <c r="W37" s="161"/>
    </row>
    <row r="38" spans="1:4575" s="59" customFormat="1" ht="31.8" thickBot="1" x14ac:dyDescent="0.35">
      <c r="A38" s="326" t="s">
        <v>148</v>
      </c>
      <c r="B38" s="326" t="s">
        <v>168</v>
      </c>
      <c r="C38" s="61" t="s">
        <v>164</v>
      </c>
      <c r="D38" s="389" t="s">
        <v>169</v>
      </c>
      <c r="E38" s="53" t="s">
        <v>172</v>
      </c>
      <c r="F38" s="407" t="s">
        <v>33</v>
      </c>
      <c r="G38" s="407"/>
      <c r="H38" s="54" t="s">
        <v>4</v>
      </c>
      <c r="I38" s="54" t="s">
        <v>5</v>
      </c>
      <c r="J38" s="103" t="s">
        <v>131</v>
      </c>
      <c r="K38" s="122" t="s">
        <v>145</v>
      </c>
      <c r="L38" s="55">
        <v>0.2</v>
      </c>
      <c r="M38" s="54" t="s">
        <v>132</v>
      </c>
      <c r="N38" s="54" t="s">
        <v>133</v>
      </c>
      <c r="O38" s="54" t="s">
        <v>134</v>
      </c>
      <c r="P38" s="54" t="s">
        <v>135</v>
      </c>
      <c r="Q38" s="54" t="s">
        <v>136</v>
      </c>
      <c r="R38" s="54" t="s">
        <v>137</v>
      </c>
      <c r="S38" s="54" t="s">
        <v>138</v>
      </c>
      <c r="T38" s="54" t="s">
        <v>139</v>
      </c>
      <c r="U38" s="53" t="s">
        <v>140</v>
      </c>
      <c r="V38" s="54" t="s">
        <v>144</v>
      </c>
      <c r="W38" s="56" t="s">
        <v>159</v>
      </c>
      <c r="X38" s="56" t="s">
        <v>160</v>
      </c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  <c r="OY38" s="31"/>
      <c r="OZ38" s="31"/>
      <c r="PA38" s="31"/>
      <c r="PB38" s="31"/>
      <c r="PC38" s="31"/>
      <c r="PD38" s="31"/>
      <c r="PE38" s="31"/>
      <c r="PF38" s="31"/>
      <c r="PG38" s="31"/>
      <c r="PH38" s="31"/>
      <c r="PI38" s="31"/>
      <c r="PJ38" s="31"/>
      <c r="PK38" s="31"/>
      <c r="PL38" s="31"/>
      <c r="PM38" s="31"/>
      <c r="PN38" s="31"/>
      <c r="PO38" s="31"/>
      <c r="PP38" s="31"/>
      <c r="PQ38" s="31"/>
      <c r="PR38" s="31"/>
      <c r="PS38" s="31"/>
      <c r="PT38" s="31"/>
      <c r="PU38" s="31"/>
      <c r="PV38" s="31"/>
      <c r="PW38" s="31"/>
      <c r="PX38" s="31"/>
      <c r="PY38" s="31"/>
      <c r="PZ38" s="31"/>
      <c r="QA38" s="31"/>
      <c r="QB38" s="31"/>
      <c r="QC38" s="31"/>
      <c r="QD38" s="31"/>
      <c r="QE38" s="31"/>
      <c r="QF38" s="31"/>
      <c r="QG38" s="31"/>
      <c r="QH38" s="31"/>
      <c r="QI38" s="31"/>
      <c r="QJ38" s="31"/>
      <c r="QK38" s="31"/>
      <c r="QL38" s="31"/>
      <c r="QM38" s="31"/>
      <c r="QN38" s="31"/>
      <c r="QO38" s="31"/>
      <c r="QP38" s="31"/>
      <c r="QQ38" s="31"/>
      <c r="QR38" s="31"/>
      <c r="QS38" s="31"/>
      <c r="QT38" s="31"/>
      <c r="QU38" s="31"/>
      <c r="QV38" s="31"/>
      <c r="QW38" s="31"/>
      <c r="QX38" s="31"/>
      <c r="QY38" s="31"/>
      <c r="QZ38" s="31"/>
      <c r="RA38" s="31"/>
      <c r="RB38" s="31"/>
      <c r="RC38" s="31"/>
      <c r="RD38" s="31"/>
      <c r="RE38" s="31"/>
      <c r="RF38" s="31"/>
      <c r="RG38" s="31"/>
      <c r="RH38" s="31"/>
      <c r="RI38" s="31"/>
      <c r="RJ38" s="31"/>
      <c r="RK38" s="31"/>
      <c r="RL38" s="31"/>
      <c r="RM38" s="31"/>
      <c r="RN38" s="31"/>
      <c r="RO38" s="31"/>
      <c r="RP38" s="31"/>
      <c r="RQ38" s="31"/>
      <c r="RR38" s="31"/>
      <c r="RS38" s="31"/>
      <c r="RT38" s="31"/>
      <c r="RU38" s="31"/>
      <c r="RV38" s="31"/>
      <c r="RW38" s="31"/>
      <c r="RX38" s="31"/>
      <c r="RY38" s="31"/>
      <c r="RZ38" s="31"/>
      <c r="SA38" s="31"/>
      <c r="SB38" s="31"/>
      <c r="SC38" s="31"/>
      <c r="SD38" s="31"/>
      <c r="SE38" s="31"/>
      <c r="SF38" s="31"/>
      <c r="SG38" s="31"/>
      <c r="SH38" s="31"/>
      <c r="SI38" s="31"/>
      <c r="SJ38" s="31"/>
      <c r="SK38" s="31"/>
      <c r="SL38" s="31"/>
      <c r="SM38" s="31"/>
      <c r="SN38" s="31"/>
      <c r="SO38" s="31"/>
      <c r="SP38" s="31"/>
      <c r="SQ38" s="31"/>
      <c r="SR38" s="31"/>
      <c r="SS38" s="31"/>
      <c r="ST38" s="31"/>
      <c r="SU38" s="31"/>
      <c r="SV38" s="31"/>
      <c r="SW38" s="31"/>
      <c r="SX38" s="31"/>
      <c r="SY38" s="31"/>
      <c r="SZ38" s="31"/>
      <c r="TA38" s="31"/>
      <c r="TB38" s="31"/>
      <c r="TC38" s="31"/>
      <c r="TD38" s="31"/>
      <c r="TE38" s="31"/>
      <c r="TF38" s="31"/>
      <c r="TG38" s="31"/>
      <c r="TH38" s="31"/>
      <c r="TI38" s="31"/>
      <c r="TJ38" s="31"/>
      <c r="TK38" s="31"/>
      <c r="TL38" s="31"/>
      <c r="TM38" s="31"/>
      <c r="TN38" s="31"/>
      <c r="TO38" s="31"/>
      <c r="TP38" s="31"/>
      <c r="TQ38" s="31"/>
      <c r="TR38" s="31"/>
      <c r="TS38" s="31"/>
      <c r="TT38" s="31"/>
      <c r="TU38" s="31"/>
      <c r="TV38" s="31"/>
      <c r="TW38" s="31"/>
      <c r="TX38" s="31"/>
      <c r="TY38" s="31"/>
      <c r="TZ38" s="31"/>
      <c r="UA38" s="31"/>
      <c r="UB38" s="31"/>
      <c r="UC38" s="31"/>
      <c r="UD38" s="31"/>
      <c r="UE38" s="31"/>
      <c r="UF38" s="31"/>
      <c r="UG38" s="31"/>
      <c r="UH38" s="31"/>
      <c r="UI38" s="31"/>
      <c r="UJ38" s="31"/>
      <c r="UK38" s="31"/>
      <c r="UL38" s="31"/>
      <c r="UM38" s="31"/>
      <c r="UN38" s="31"/>
      <c r="UO38" s="31"/>
      <c r="UP38" s="31"/>
      <c r="UQ38" s="31"/>
      <c r="UR38" s="31"/>
      <c r="US38" s="31"/>
      <c r="UT38" s="31"/>
      <c r="UU38" s="31"/>
      <c r="UV38" s="31"/>
      <c r="UW38" s="31"/>
      <c r="UX38" s="31"/>
      <c r="UY38" s="31"/>
      <c r="UZ38" s="31"/>
      <c r="VA38" s="31"/>
      <c r="VB38" s="31"/>
      <c r="VC38" s="31"/>
      <c r="VD38" s="31"/>
      <c r="VE38" s="31"/>
      <c r="VF38" s="31"/>
      <c r="VG38" s="31"/>
      <c r="VH38" s="31"/>
      <c r="VI38" s="31"/>
      <c r="VJ38" s="31"/>
      <c r="VK38" s="31"/>
      <c r="VL38" s="31"/>
      <c r="VM38" s="31"/>
      <c r="VN38" s="31"/>
      <c r="VO38" s="31"/>
      <c r="VP38" s="31"/>
      <c r="VQ38" s="31"/>
      <c r="VR38" s="31"/>
      <c r="VS38" s="31"/>
      <c r="VT38" s="31"/>
      <c r="VU38" s="31"/>
      <c r="VV38" s="31"/>
      <c r="VW38" s="31"/>
      <c r="VX38" s="31"/>
      <c r="VY38" s="31"/>
      <c r="VZ38" s="31"/>
      <c r="WA38" s="31"/>
      <c r="WB38" s="31"/>
      <c r="WC38" s="31"/>
      <c r="WD38" s="31"/>
      <c r="WE38" s="31"/>
      <c r="WF38" s="31"/>
      <c r="WG38" s="31"/>
      <c r="WH38" s="31"/>
      <c r="WI38" s="31"/>
      <c r="WJ38" s="31"/>
      <c r="WK38" s="31"/>
      <c r="WL38" s="31"/>
      <c r="WM38" s="31"/>
      <c r="WN38" s="31"/>
      <c r="WO38" s="31"/>
      <c r="WP38" s="31"/>
      <c r="WQ38" s="31"/>
      <c r="WR38" s="31"/>
      <c r="WS38" s="31"/>
      <c r="WT38" s="31"/>
      <c r="WU38" s="31"/>
      <c r="WV38" s="31"/>
      <c r="WW38" s="31"/>
      <c r="WX38" s="31"/>
      <c r="WY38" s="31"/>
      <c r="WZ38" s="31"/>
      <c r="XA38" s="31"/>
      <c r="XB38" s="31"/>
      <c r="XC38" s="31"/>
      <c r="XD38" s="31"/>
      <c r="XE38" s="31"/>
      <c r="XF38" s="31"/>
      <c r="XG38" s="31"/>
      <c r="XH38" s="31"/>
      <c r="XI38" s="31"/>
      <c r="XJ38" s="31"/>
      <c r="XK38" s="31"/>
      <c r="XL38" s="31"/>
      <c r="XM38" s="31"/>
      <c r="XN38" s="31"/>
      <c r="XO38" s="31"/>
      <c r="XP38" s="31"/>
      <c r="XQ38" s="31"/>
      <c r="XR38" s="31"/>
      <c r="XS38" s="31"/>
      <c r="XT38" s="31"/>
      <c r="XU38" s="31"/>
      <c r="XV38" s="31"/>
      <c r="XW38" s="31"/>
      <c r="XX38" s="31"/>
      <c r="XY38" s="31"/>
      <c r="XZ38" s="31"/>
      <c r="YA38" s="31"/>
      <c r="YB38" s="31"/>
      <c r="YC38" s="31"/>
      <c r="YD38" s="31"/>
      <c r="YE38" s="31"/>
      <c r="YF38" s="31"/>
      <c r="YG38" s="31"/>
      <c r="YH38" s="31"/>
      <c r="YI38" s="31"/>
      <c r="YJ38" s="31"/>
      <c r="YK38" s="31"/>
      <c r="YL38" s="31"/>
      <c r="YM38" s="31"/>
      <c r="YN38" s="31"/>
      <c r="YO38" s="31"/>
      <c r="YP38" s="31"/>
      <c r="YQ38" s="31"/>
      <c r="YR38" s="31"/>
      <c r="YS38" s="31"/>
      <c r="YT38" s="31"/>
      <c r="YU38" s="31"/>
      <c r="YV38" s="31"/>
      <c r="YW38" s="31"/>
      <c r="YX38" s="31"/>
      <c r="YY38" s="31"/>
      <c r="YZ38" s="31"/>
      <c r="ZA38" s="31"/>
      <c r="ZB38" s="31"/>
      <c r="ZC38" s="31"/>
      <c r="ZD38" s="31"/>
      <c r="ZE38" s="31"/>
      <c r="ZF38" s="31"/>
      <c r="ZG38" s="31"/>
      <c r="ZH38" s="31"/>
      <c r="ZI38" s="31"/>
      <c r="ZJ38" s="31"/>
      <c r="ZK38" s="31"/>
      <c r="ZL38" s="31"/>
      <c r="ZM38" s="31"/>
      <c r="ZN38" s="31"/>
      <c r="ZO38" s="31"/>
      <c r="ZP38" s="31"/>
      <c r="ZQ38" s="31"/>
      <c r="ZR38" s="31"/>
      <c r="ZS38" s="31"/>
      <c r="ZT38" s="31"/>
      <c r="ZU38" s="31"/>
      <c r="ZV38" s="31"/>
      <c r="ZW38" s="31"/>
      <c r="ZX38" s="31"/>
      <c r="ZY38" s="31"/>
      <c r="ZZ38" s="31"/>
      <c r="AAA38" s="31"/>
      <c r="AAB38" s="31"/>
      <c r="AAC38" s="31"/>
      <c r="AAD38" s="31"/>
      <c r="AAE38" s="31"/>
      <c r="AAF38" s="31"/>
      <c r="AAG38" s="31"/>
      <c r="AAH38" s="31"/>
      <c r="AAI38" s="31"/>
      <c r="AAJ38" s="31"/>
      <c r="AAK38" s="31"/>
      <c r="AAL38" s="31"/>
      <c r="AAM38" s="31"/>
      <c r="AAN38" s="31"/>
      <c r="AAO38" s="31"/>
      <c r="AAP38" s="31"/>
      <c r="AAQ38" s="31"/>
      <c r="AAR38" s="31"/>
      <c r="AAS38" s="31"/>
      <c r="AAT38" s="31"/>
      <c r="AAU38" s="31"/>
      <c r="AAV38" s="31"/>
      <c r="AAW38" s="31"/>
      <c r="AAX38" s="31"/>
      <c r="AAY38" s="31"/>
      <c r="AAZ38" s="31"/>
      <c r="ABA38" s="31"/>
      <c r="ABB38" s="31"/>
      <c r="ABC38" s="31"/>
      <c r="ABD38" s="31"/>
      <c r="ABE38" s="31"/>
      <c r="ABF38" s="31"/>
      <c r="ABG38" s="31"/>
      <c r="ABH38" s="31"/>
      <c r="ABI38" s="31"/>
      <c r="ABJ38" s="31"/>
      <c r="ABK38" s="31"/>
      <c r="ABL38" s="31"/>
      <c r="ABM38" s="31"/>
      <c r="ABN38" s="31"/>
      <c r="ABO38" s="31"/>
      <c r="ABP38" s="31"/>
      <c r="ABQ38" s="31"/>
      <c r="ABR38" s="31"/>
      <c r="ABS38" s="31"/>
      <c r="ABT38" s="31"/>
      <c r="ABU38" s="31"/>
      <c r="ABV38" s="31"/>
      <c r="ABW38" s="31"/>
      <c r="ABX38" s="31"/>
      <c r="ABY38" s="31"/>
      <c r="ABZ38" s="31"/>
      <c r="ACA38" s="31"/>
      <c r="ACB38" s="31"/>
      <c r="ACC38" s="31"/>
      <c r="ACD38" s="31"/>
      <c r="ACE38" s="31"/>
      <c r="ACF38" s="31"/>
      <c r="ACG38" s="31"/>
      <c r="ACH38" s="31"/>
      <c r="ACI38" s="31"/>
      <c r="ACJ38" s="31"/>
      <c r="ACK38" s="31"/>
      <c r="ACL38" s="31"/>
      <c r="ACM38" s="31"/>
      <c r="ACN38" s="31"/>
      <c r="ACO38" s="31"/>
      <c r="ACP38" s="31"/>
      <c r="ACQ38" s="31"/>
      <c r="ACR38" s="31"/>
      <c r="ACS38" s="31"/>
      <c r="ACT38" s="31"/>
      <c r="ACU38" s="31"/>
      <c r="ACV38" s="31"/>
      <c r="ACW38" s="31"/>
      <c r="ACX38" s="31"/>
      <c r="ACY38" s="31"/>
      <c r="ACZ38" s="31"/>
      <c r="ADA38" s="31"/>
      <c r="ADB38" s="31"/>
      <c r="ADC38" s="31"/>
      <c r="ADD38" s="31"/>
      <c r="ADE38" s="31"/>
      <c r="ADF38" s="31"/>
      <c r="ADG38" s="31"/>
      <c r="ADH38" s="31"/>
      <c r="ADI38" s="31"/>
      <c r="ADJ38" s="31"/>
      <c r="ADK38" s="31"/>
      <c r="ADL38" s="31"/>
      <c r="ADM38" s="31"/>
      <c r="ADN38" s="31"/>
      <c r="ADO38" s="31"/>
      <c r="ADP38" s="31"/>
      <c r="ADQ38" s="31"/>
      <c r="ADR38" s="31"/>
      <c r="ADS38" s="31"/>
      <c r="ADT38" s="31"/>
      <c r="ADU38" s="31"/>
      <c r="ADV38" s="31"/>
      <c r="ADW38" s="31"/>
      <c r="ADX38" s="31"/>
      <c r="ADY38" s="31"/>
      <c r="ADZ38" s="31"/>
      <c r="AEA38" s="31"/>
      <c r="AEB38" s="31"/>
      <c r="AEC38" s="31"/>
      <c r="AED38" s="31"/>
      <c r="AEE38" s="31"/>
      <c r="AEF38" s="31"/>
      <c r="AEG38" s="31"/>
      <c r="AEH38" s="31"/>
      <c r="AEI38" s="31"/>
      <c r="AEJ38" s="31"/>
      <c r="AEK38" s="31"/>
      <c r="AEL38" s="31"/>
      <c r="AEM38" s="31"/>
      <c r="AEN38" s="31"/>
      <c r="AEO38" s="31"/>
      <c r="AEP38" s="31"/>
      <c r="AEQ38" s="31"/>
      <c r="AER38" s="31"/>
      <c r="AES38" s="31"/>
      <c r="AET38" s="31"/>
      <c r="AEU38" s="31"/>
      <c r="AEV38" s="31"/>
      <c r="AEW38" s="31"/>
      <c r="AEX38" s="31"/>
      <c r="AEY38" s="31"/>
      <c r="AEZ38" s="31"/>
      <c r="AFA38" s="31"/>
      <c r="AFB38" s="31"/>
      <c r="AFC38" s="31"/>
      <c r="AFD38" s="31"/>
      <c r="AFE38" s="31"/>
      <c r="AFF38" s="31"/>
      <c r="AFG38" s="31"/>
      <c r="AFH38" s="31"/>
      <c r="AFI38" s="31"/>
      <c r="AFJ38" s="31"/>
      <c r="AFK38" s="31"/>
      <c r="AFL38" s="31"/>
      <c r="AFM38" s="31"/>
      <c r="AFN38" s="31"/>
      <c r="AFO38" s="31"/>
      <c r="AFP38" s="31"/>
      <c r="AFQ38" s="31"/>
      <c r="AFR38" s="31"/>
      <c r="AFS38" s="31"/>
      <c r="AFT38" s="31"/>
      <c r="AFU38" s="31"/>
      <c r="AFV38" s="31"/>
      <c r="AFW38" s="31"/>
      <c r="AFX38" s="31"/>
      <c r="AFY38" s="31"/>
      <c r="AFZ38" s="31"/>
      <c r="AGA38" s="31"/>
      <c r="AGB38" s="31"/>
      <c r="AGC38" s="31"/>
      <c r="AGD38" s="31"/>
      <c r="AGE38" s="31"/>
      <c r="AGF38" s="31"/>
      <c r="AGG38" s="31"/>
      <c r="AGH38" s="31"/>
      <c r="AGI38" s="31"/>
      <c r="AGJ38" s="31"/>
      <c r="AGK38" s="31"/>
      <c r="AGL38" s="31"/>
      <c r="AGM38" s="31"/>
      <c r="AGN38" s="31"/>
      <c r="AGO38" s="31"/>
      <c r="AGP38" s="31"/>
      <c r="AGQ38" s="31"/>
      <c r="AGR38" s="31"/>
      <c r="AGS38" s="31"/>
      <c r="AGT38" s="31"/>
      <c r="AGU38" s="31"/>
      <c r="AGV38" s="31"/>
      <c r="AGW38" s="31"/>
      <c r="AGX38" s="31"/>
      <c r="AGY38" s="31"/>
      <c r="AGZ38" s="31"/>
      <c r="AHA38" s="31"/>
      <c r="AHB38" s="31"/>
      <c r="AHC38" s="31"/>
      <c r="AHD38" s="31"/>
      <c r="AHE38" s="31"/>
      <c r="AHF38" s="31"/>
      <c r="AHG38" s="31"/>
      <c r="AHH38" s="31"/>
      <c r="AHI38" s="31"/>
      <c r="AHJ38" s="31"/>
      <c r="AHK38" s="31"/>
      <c r="AHL38" s="31"/>
      <c r="AHM38" s="31"/>
      <c r="AHN38" s="31"/>
      <c r="AHO38" s="31"/>
      <c r="AHP38" s="31"/>
      <c r="AHQ38" s="31"/>
      <c r="AHR38" s="31"/>
      <c r="AHS38" s="31"/>
      <c r="AHT38" s="31"/>
      <c r="AHU38" s="31"/>
      <c r="AHV38" s="31"/>
      <c r="AHW38" s="31"/>
      <c r="AHX38" s="31"/>
      <c r="AHY38" s="31"/>
      <c r="AHZ38" s="31"/>
      <c r="AIA38" s="31"/>
      <c r="AIB38" s="31"/>
      <c r="AIC38" s="31"/>
      <c r="AID38" s="31"/>
      <c r="AIE38" s="31"/>
      <c r="AIF38" s="31"/>
      <c r="AIG38" s="31"/>
      <c r="AIH38" s="31"/>
      <c r="AII38" s="31"/>
      <c r="AIJ38" s="31"/>
      <c r="AIK38" s="31"/>
      <c r="AIL38" s="31"/>
      <c r="AIM38" s="31"/>
      <c r="AIN38" s="31"/>
      <c r="AIO38" s="31"/>
      <c r="AIP38" s="31"/>
      <c r="AIQ38" s="31"/>
      <c r="AIR38" s="31"/>
      <c r="AIS38" s="31"/>
      <c r="AIT38" s="31"/>
      <c r="AIU38" s="31"/>
      <c r="AIV38" s="31"/>
      <c r="AIW38" s="31"/>
      <c r="AIX38" s="31"/>
      <c r="AIY38" s="31"/>
      <c r="AIZ38" s="31"/>
      <c r="AJA38" s="31"/>
      <c r="AJB38" s="31"/>
      <c r="AJC38" s="31"/>
      <c r="AJD38" s="31"/>
      <c r="AJE38" s="31"/>
      <c r="AJF38" s="31"/>
      <c r="AJG38" s="31"/>
      <c r="AJH38" s="31"/>
      <c r="AJI38" s="31"/>
      <c r="AJJ38" s="31"/>
      <c r="AJK38" s="31"/>
      <c r="AJL38" s="31"/>
      <c r="AJM38" s="31"/>
      <c r="AJN38" s="31"/>
      <c r="AJO38" s="31"/>
      <c r="AJP38" s="31"/>
      <c r="AJQ38" s="31"/>
      <c r="AJR38" s="31"/>
      <c r="AJS38" s="31"/>
      <c r="AJT38" s="31"/>
      <c r="AJU38" s="31"/>
      <c r="AJV38" s="31"/>
      <c r="AJW38" s="31"/>
      <c r="AJX38" s="31"/>
      <c r="AJY38" s="31"/>
      <c r="AJZ38" s="31"/>
      <c r="AKA38" s="31"/>
      <c r="AKB38" s="31"/>
      <c r="AKC38" s="31"/>
      <c r="AKD38" s="31"/>
      <c r="AKE38" s="31"/>
      <c r="AKF38" s="31"/>
      <c r="AKG38" s="31"/>
      <c r="AKH38" s="31"/>
      <c r="AKI38" s="31"/>
      <c r="AKJ38" s="31"/>
      <c r="AKK38" s="31"/>
      <c r="AKL38" s="31"/>
      <c r="AKM38" s="31"/>
      <c r="AKN38" s="31"/>
      <c r="AKO38" s="31"/>
      <c r="AKP38" s="31"/>
      <c r="AKQ38" s="31"/>
      <c r="AKR38" s="31"/>
      <c r="AKS38" s="31"/>
      <c r="AKT38" s="31"/>
      <c r="AKU38" s="31"/>
      <c r="AKV38" s="31"/>
      <c r="AKW38" s="31"/>
      <c r="AKX38" s="31"/>
      <c r="AKY38" s="31"/>
      <c r="AKZ38" s="31"/>
      <c r="ALA38" s="31"/>
      <c r="ALB38" s="31"/>
      <c r="ALC38" s="31"/>
      <c r="ALD38" s="31"/>
      <c r="ALE38" s="31"/>
      <c r="ALF38" s="31"/>
      <c r="ALG38" s="31"/>
      <c r="ALH38" s="31"/>
      <c r="ALI38" s="31"/>
      <c r="ALJ38" s="31"/>
      <c r="ALK38" s="31"/>
      <c r="ALL38" s="31"/>
      <c r="ALM38" s="31"/>
      <c r="ALN38" s="31"/>
      <c r="ALO38" s="31"/>
      <c r="ALP38" s="31"/>
      <c r="ALQ38" s="31"/>
      <c r="ALR38" s="31"/>
      <c r="ALS38" s="31"/>
      <c r="ALT38" s="31"/>
      <c r="ALU38" s="31"/>
      <c r="ALV38" s="31"/>
      <c r="ALW38" s="31"/>
      <c r="ALX38" s="31"/>
      <c r="ALY38" s="31"/>
      <c r="ALZ38" s="31"/>
      <c r="AMA38" s="31"/>
      <c r="AMB38" s="31"/>
      <c r="AMC38" s="31"/>
      <c r="AMD38" s="31"/>
      <c r="AME38" s="31"/>
      <c r="AMF38" s="31"/>
      <c r="AMG38" s="31"/>
      <c r="AMH38" s="31"/>
      <c r="AMI38" s="31"/>
      <c r="AMJ38" s="31"/>
      <c r="AMK38" s="31"/>
      <c r="AML38" s="31"/>
      <c r="AMM38" s="31"/>
      <c r="AMN38" s="31"/>
      <c r="AMO38" s="31"/>
      <c r="AMP38" s="31"/>
      <c r="AMQ38" s="31"/>
      <c r="AMR38" s="31"/>
      <c r="AMS38" s="31"/>
      <c r="AMT38" s="31"/>
      <c r="AMU38" s="31"/>
      <c r="AMV38" s="31"/>
      <c r="AMW38" s="31"/>
      <c r="AMX38" s="31"/>
      <c r="AMY38" s="31"/>
      <c r="AMZ38" s="31"/>
      <c r="ANA38" s="31"/>
      <c r="ANB38" s="31"/>
      <c r="ANC38" s="31"/>
      <c r="AND38" s="31"/>
      <c r="ANE38" s="31"/>
      <c r="ANF38" s="31"/>
      <c r="ANG38" s="31"/>
      <c r="ANH38" s="31"/>
      <c r="ANI38" s="31"/>
      <c r="ANJ38" s="31"/>
      <c r="ANK38" s="31"/>
      <c r="ANL38" s="31"/>
      <c r="ANM38" s="31"/>
      <c r="ANN38" s="31"/>
      <c r="ANO38" s="31"/>
      <c r="ANP38" s="31"/>
      <c r="ANQ38" s="31"/>
      <c r="ANR38" s="31"/>
      <c r="ANS38" s="31"/>
      <c r="ANT38" s="31"/>
      <c r="ANU38" s="31"/>
      <c r="ANV38" s="31"/>
      <c r="ANW38" s="31"/>
      <c r="ANX38" s="31"/>
      <c r="ANY38" s="31"/>
      <c r="ANZ38" s="31"/>
      <c r="AOA38" s="31"/>
      <c r="AOB38" s="31"/>
      <c r="AOC38" s="31"/>
      <c r="AOD38" s="31"/>
      <c r="AOE38" s="31"/>
      <c r="AOF38" s="31"/>
      <c r="AOG38" s="31"/>
      <c r="AOH38" s="31"/>
      <c r="AOI38" s="31"/>
      <c r="AOJ38" s="31"/>
      <c r="AOK38" s="31"/>
      <c r="AOL38" s="31"/>
      <c r="AOM38" s="31"/>
      <c r="AON38" s="31"/>
      <c r="AOO38" s="31"/>
      <c r="AOP38" s="31"/>
      <c r="AOQ38" s="31"/>
      <c r="AOR38" s="31"/>
      <c r="AOS38" s="31"/>
      <c r="AOT38" s="31"/>
      <c r="AOU38" s="31"/>
      <c r="AOV38" s="31"/>
      <c r="AOW38" s="31"/>
      <c r="AOX38" s="31"/>
      <c r="AOY38" s="31"/>
      <c r="AOZ38" s="31"/>
      <c r="APA38" s="31"/>
      <c r="APB38" s="31"/>
      <c r="APC38" s="31"/>
      <c r="APD38" s="31"/>
      <c r="APE38" s="31"/>
      <c r="APF38" s="31"/>
      <c r="APG38" s="31"/>
      <c r="APH38" s="31"/>
      <c r="API38" s="31"/>
      <c r="APJ38" s="31"/>
      <c r="APK38" s="31"/>
      <c r="APL38" s="31"/>
      <c r="APM38" s="31"/>
      <c r="APN38" s="31"/>
      <c r="APO38" s="31"/>
      <c r="APP38" s="31"/>
      <c r="APQ38" s="31"/>
      <c r="APR38" s="31"/>
      <c r="APS38" s="31"/>
      <c r="APT38" s="31"/>
      <c r="APU38" s="31"/>
      <c r="APV38" s="31"/>
      <c r="APW38" s="31"/>
      <c r="APX38" s="31"/>
      <c r="APY38" s="31"/>
      <c r="APZ38" s="31"/>
      <c r="AQA38" s="31"/>
      <c r="AQB38" s="31"/>
      <c r="AQC38" s="31"/>
      <c r="AQD38" s="31"/>
      <c r="AQE38" s="31"/>
      <c r="AQF38" s="31"/>
      <c r="AQG38" s="31"/>
      <c r="AQH38" s="31"/>
      <c r="AQI38" s="31"/>
      <c r="AQJ38" s="31"/>
      <c r="AQK38" s="31"/>
      <c r="AQL38" s="31"/>
      <c r="AQM38" s="31"/>
      <c r="AQN38" s="31"/>
      <c r="AQO38" s="31"/>
      <c r="AQP38" s="31"/>
      <c r="AQQ38" s="31"/>
      <c r="AQR38" s="31"/>
      <c r="AQS38" s="31"/>
      <c r="AQT38" s="31"/>
      <c r="AQU38" s="31"/>
      <c r="AQV38" s="31"/>
      <c r="AQW38" s="31"/>
      <c r="AQX38" s="31"/>
      <c r="AQY38" s="31"/>
      <c r="AQZ38" s="31"/>
      <c r="ARA38" s="31"/>
      <c r="ARB38" s="31"/>
      <c r="ARC38" s="31"/>
      <c r="ARD38" s="31"/>
      <c r="ARE38" s="31"/>
      <c r="ARF38" s="31"/>
      <c r="ARG38" s="31"/>
      <c r="ARH38" s="31"/>
      <c r="ARI38" s="31"/>
      <c r="ARJ38" s="31"/>
      <c r="ARK38" s="31"/>
      <c r="ARL38" s="31"/>
      <c r="ARM38" s="31"/>
      <c r="ARN38" s="31"/>
      <c r="ARO38" s="31"/>
      <c r="ARP38" s="31"/>
      <c r="ARQ38" s="31"/>
      <c r="ARR38" s="31"/>
      <c r="ARS38" s="31"/>
      <c r="ART38" s="31"/>
      <c r="ARU38" s="31"/>
      <c r="ARV38" s="31"/>
      <c r="ARW38" s="31"/>
      <c r="ARX38" s="31"/>
      <c r="ARY38" s="31"/>
      <c r="ARZ38" s="31"/>
      <c r="ASA38" s="31"/>
      <c r="ASB38" s="31"/>
      <c r="ASC38" s="31"/>
      <c r="ASD38" s="31"/>
      <c r="ASE38" s="31"/>
      <c r="ASF38" s="31"/>
      <c r="ASG38" s="31"/>
      <c r="ASH38" s="31"/>
      <c r="ASI38" s="31"/>
      <c r="ASJ38" s="31"/>
      <c r="ASK38" s="31"/>
      <c r="ASL38" s="31"/>
      <c r="ASM38" s="31"/>
      <c r="ASN38" s="31"/>
      <c r="ASO38" s="31"/>
      <c r="ASP38" s="31"/>
      <c r="ASQ38" s="31"/>
      <c r="ASR38" s="31"/>
      <c r="ASS38" s="31"/>
      <c r="AST38" s="31"/>
      <c r="ASU38" s="31"/>
      <c r="ASV38" s="31"/>
      <c r="ASW38" s="31"/>
      <c r="ASX38" s="31"/>
      <c r="ASY38" s="31"/>
      <c r="ASZ38" s="31"/>
      <c r="ATA38" s="31"/>
      <c r="ATB38" s="31"/>
      <c r="ATC38" s="31"/>
      <c r="ATD38" s="31"/>
      <c r="ATE38" s="31"/>
      <c r="ATF38" s="31"/>
      <c r="ATG38" s="31"/>
      <c r="ATH38" s="31"/>
      <c r="ATI38" s="31"/>
      <c r="ATJ38" s="31"/>
      <c r="ATK38" s="31"/>
      <c r="ATL38" s="31"/>
      <c r="ATM38" s="31"/>
      <c r="ATN38" s="31"/>
      <c r="ATO38" s="31"/>
      <c r="ATP38" s="31"/>
      <c r="ATQ38" s="31"/>
      <c r="ATR38" s="31"/>
      <c r="ATS38" s="31"/>
      <c r="ATT38" s="31"/>
      <c r="ATU38" s="31"/>
      <c r="ATV38" s="31"/>
      <c r="ATW38" s="31"/>
      <c r="ATX38" s="31"/>
      <c r="ATY38" s="31"/>
      <c r="ATZ38" s="31"/>
      <c r="AUA38" s="31"/>
      <c r="AUB38" s="31"/>
      <c r="AUC38" s="31"/>
      <c r="AUD38" s="31"/>
      <c r="AUE38" s="31"/>
      <c r="AUF38" s="31"/>
      <c r="AUG38" s="31"/>
      <c r="AUH38" s="31"/>
      <c r="AUI38" s="31"/>
      <c r="AUJ38" s="31"/>
      <c r="AUK38" s="31"/>
      <c r="AUL38" s="31"/>
      <c r="AUM38" s="31"/>
      <c r="AUN38" s="31"/>
      <c r="AUO38" s="31"/>
      <c r="AUP38" s="31"/>
      <c r="AUQ38" s="31"/>
      <c r="AUR38" s="31"/>
      <c r="AUS38" s="31"/>
      <c r="AUT38" s="31"/>
      <c r="AUU38" s="31"/>
      <c r="AUV38" s="31"/>
      <c r="AUW38" s="31"/>
      <c r="AUX38" s="31"/>
      <c r="AUY38" s="31"/>
      <c r="AUZ38" s="31"/>
      <c r="AVA38" s="31"/>
      <c r="AVB38" s="31"/>
      <c r="AVC38" s="31"/>
      <c r="AVD38" s="31"/>
      <c r="AVE38" s="31"/>
      <c r="AVF38" s="31"/>
      <c r="AVG38" s="31"/>
      <c r="AVH38" s="31"/>
      <c r="AVI38" s="31"/>
      <c r="AVJ38" s="31"/>
      <c r="AVK38" s="31"/>
      <c r="AVL38" s="31"/>
      <c r="AVM38" s="31"/>
      <c r="AVN38" s="31"/>
      <c r="AVO38" s="31"/>
      <c r="AVP38" s="31"/>
      <c r="AVQ38" s="31"/>
      <c r="AVR38" s="31"/>
      <c r="AVS38" s="31"/>
      <c r="AVT38" s="31"/>
      <c r="AVU38" s="31"/>
      <c r="AVV38" s="31"/>
      <c r="AVW38" s="31"/>
      <c r="AVX38" s="31"/>
      <c r="AVY38" s="31"/>
      <c r="AVZ38" s="31"/>
      <c r="AWA38" s="31"/>
      <c r="AWB38" s="31"/>
      <c r="AWC38" s="31"/>
      <c r="AWD38" s="31"/>
      <c r="AWE38" s="31"/>
      <c r="AWF38" s="31"/>
      <c r="AWG38" s="31"/>
      <c r="AWH38" s="31"/>
      <c r="AWI38" s="31"/>
      <c r="AWJ38" s="31"/>
      <c r="AWK38" s="31"/>
      <c r="AWL38" s="31"/>
      <c r="AWM38" s="31"/>
      <c r="AWN38" s="31"/>
      <c r="AWO38" s="31"/>
      <c r="AWP38" s="31"/>
      <c r="AWQ38" s="31"/>
      <c r="AWR38" s="31"/>
      <c r="AWS38" s="31"/>
      <c r="AWT38" s="31"/>
      <c r="AWU38" s="31"/>
      <c r="AWV38" s="31"/>
      <c r="AWW38" s="31"/>
      <c r="AWX38" s="31"/>
      <c r="AWY38" s="31"/>
      <c r="AWZ38" s="31"/>
      <c r="AXA38" s="31"/>
      <c r="AXB38" s="31"/>
      <c r="AXC38" s="31"/>
      <c r="AXD38" s="31"/>
      <c r="AXE38" s="31"/>
      <c r="AXF38" s="31"/>
      <c r="AXG38" s="31"/>
      <c r="AXH38" s="31"/>
      <c r="AXI38" s="31"/>
      <c r="AXJ38" s="31"/>
      <c r="AXK38" s="31"/>
      <c r="AXL38" s="31"/>
      <c r="AXM38" s="31"/>
      <c r="AXN38" s="31"/>
      <c r="AXO38" s="31"/>
      <c r="AXP38" s="31"/>
      <c r="AXQ38" s="31"/>
      <c r="AXR38" s="31"/>
      <c r="AXS38" s="31"/>
      <c r="AXT38" s="31"/>
      <c r="AXU38" s="31"/>
      <c r="AXV38" s="31"/>
      <c r="AXW38" s="31"/>
      <c r="AXX38" s="31"/>
      <c r="AXY38" s="31"/>
      <c r="AXZ38" s="31"/>
      <c r="AYA38" s="31"/>
      <c r="AYB38" s="31"/>
      <c r="AYC38" s="31"/>
      <c r="AYD38" s="31"/>
      <c r="AYE38" s="31"/>
      <c r="AYF38" s="31"/>
      <c r="AYG38" s="31"/>
      <c r="AYH38" s="31"/>
      <c r="AYI38" s="31"/>
      <c r="AYJ38" s="31"/>
      <c r="AYK38" s="31"/>
      <c r="AYL38" s="31"/>
      <c r="AYM38" s="31"/>
      <c r="AYN38" s="31"/>
      <c r="AYO38" s="31"/>
      <c r="AYP38" s="31"/>
      <c r="AYQ38" s="31"/>
      <c r="AYR38" s="31"/>
      <c r="AYS38" s="31"/>
      <c r="AYT38" s="31"/>
      <c r="AYU38" s="31"/>
      <c r="AYV38" s="31"/>
      <c r="AYW38" s="31"/>
      <c r="AYX38" s="31"/>
      <c r="AYY38" s="31"/>
      <c r="AYZ38" s="31"/>
      <c r="AZA38" s="31"/>
      <c r="AZB38" s="31"/>
      <c r="AZC38" s="31"/>
      <c r="AZD38" s="31"/>
      <c r="AZE38" s="31"/>
      <c r="AZF38" s="31"/>
      <c r="AZG38" s="31"/>
      <c r="AZH38" s="31"/>
      <c r="AZI38" s="31"/>
      <c r="AZJ38" s="31"/>
      <c r="AZK38" s="31"/>
      <c r="AZL38" s="31"/>
      <c r="AZM38" s="31"/>
      <c r="AZN38" s="31"/>
      <c r="AZO38" s="31"/>
      <c r="AZP38" s="31"/>
      <c r="AZQ38" s="31"/>
      <c r="AZR38" s="31"/>
      <c r="AZS38" s="31"/>
      <c r="AZT38" s="31"/>
      <c r="AZU38" s="31"/>
      <c r="AZV38" s="31"/>
      <c r="AZW38" s="31"/>
      <c r="AZX38" s="31"/>
      <c r="AZY38" s="31"/>
      <c r="AZZ38" s="31"/>
      <c r="BAA38" s="31"/>
      <c r="BAB38" s="31"/>
      <c r="BAC38" s="31"/>
      <c r="BAD38" s="31"/>
      <c r="BAE38" s="31"/>
      <c r="BAF38" s="31"/>
      <c r="BAG38" s="31"/>
      <c r="BAH38" s="31"/>
      <c r="BAI38" s="31"/>
      <c r="BAJ38" s="31"/>
      <c r="BAK38" s="31"/>
      <c r="BAL38" s="31"/>
      <c r="BAM38" s="31"/>
      <c r="BAN38" s="31"/>
      <c r="BAO38" s="31"/>
      <c r="BAP38" s="31"/>
      <c r="BAQ38" s="31"/>
      <c r="BAR38" s="31"/>
      <c r="BAS38" s="31"/>
      <c r="BAT38" s="31"/>
      <c r="BAU38" s="31"/>
      <c r="BAV38" s="31"/>
      <c r="BAW38" s="31"/>
      <c r="BAX38" s="31"/>
      <c r="BAY38" s="31"/>
      <c r="BAZ38" s="31"/>
      <c r="BBA38" s="31"/>
      <c r="BBB38" s="31"/>
      <c r="BBC38" s="31"/>
      <c r="BBD38" s="31"/>
      <c r="BBE38" s="31"/>
      <c r="BBF38" s="31"/>
      <c r="BBG38" s="31"/>
      <c r="BBH38" s="31"/>
      <c r="BBI38" s="31"/>
      <c r="BBJ38" s="31"/>
      <c r="BBK38" s="31"/>
      <c r="BBL38" s="31"/>
      <c r="BBM38" s="31"/>
      <c r="BBN38" s="31"/>
      <c r="BBO38" s="31"/>
      <c r="BBP38" s="31"/>
      <c r="BBQ38" s="31"/>
      <c r="BBR38" s="31"/>
      <c r="BBS38" s="31"/>
      <c r="BBT38" s="31"/>
      <c r="BBU38" s="31"/>
      <c r="BBV38" s="31"/>
      <c r="BBW38" s="31"/>
      <c r="BBX38" s="31"/>
      <c r="BBY38" s="31"/>
      <c r="BBZ38" s="31"/>
      <c r="BCA38" s="31"/>
      <c r="BCB38" s="31"/>
      <c r="BCC38" s="31"/>
      <c r="BCD38" s="31"/>
      <c r="BCE38" s="31"/>
      <c r="BCF38" s="31"/>
      <c r="BCG38" s="31"/>
      <c r="BCH38" s="31"/>
      <c r="BCI38" s="31"/>
      <c r="BCJ38" s="31"/>
      <c r="BCK38" s="31"/>
      <c r="BCL38" s="31"/>
      <c r="BCM38" s="31"/>
      <c r="BCN38" s="31"/>
      <c r="BCO38" s="31"/>
      <c r="BCP38" s="31"/>
      <c r="BCQ38" s="31"/>
      <c r="BCR38" s="31"/>
      <c r="BCS38" s="31"/>
      <c r="BCT38" s="31"/>
      <c r="BCU38" s="31"/>
      <c r="BCV38" s="31"/>
      <c r="BCW38" s="31"/>
      <c r="BCX38" s="31"/>
      <c r="BCY38" s="31"/>
      <c r="BCZ38" s="31"/>
      <c r="BDA38" s="31"/>
      <c r="BDB38" s="31"/>
      <c r="BDC38" s="31"/>
      <c r="BDD38" s="31"/>
      <c r="BDE38" s="31"/>
      <c r="BDF38" s="31"/>
      <c r="BDG38" s="31"/>
      <c r="BDH38" s="31"/>
      <c r="BDI38" s="31"/>
      <c r="BDJ38" s="31"/>
      <c r="BDK38" s="31"/>
      <c r="BDL38" s="31"/>
      <c r="BDM38" s="31"/>
      <c r="BDN38" s="31"/>
      <c r="BDO38" s="31"/>
      <c r="BDP38" s="31"/>
      <c r="BDQ38" s="31"/>
      <c r="BDR38" s="31"/>
      <c r="BDS38" s="31"/>
      <c r="BDT38" s="31"/>
      <c r="BDU38" s="31"/>
      <c r="BDV38" s="31"/>
      <c r="BDW38" s="31"/>
      <c r="BDX38" s="31"/>
      <c r="BDY38" s="31"/>
      <c r="BDZ38" s="31"/>
      <c r="BEA38" s="31"/>
      <c r="BEB38" s="31"/>
      <c r="BEC38" s="31"/>
      <c r="BED38" s="31"/>
      <c r="BEE38" s="31"/>
      <c r="BEF38" s="31"/>
      <c r="BEG38" s="31"/>
      <c r="BEH38" s="31"/>
      <c r="BEI38" s="31"/>
      <c r="BEJ38" s="31"/>
      <c r="BEK38" s="31"/>
      <c r="BEL38" s="31"/>
      <c r="BEM38" s="31"/>
      <c r="BEN38" s="31"/>
      <c r="BEO38" s="31"/>
      <c r="BEP38" s="31"/>
      <c r="BEQ38" s="31"/>
      <c r="BER38" s="31"/>
      <c r="BES38" s="31"/>
      <c r="BET38" s="31"/>
      <c r="BEU38" s="31"/>
      <c r="BEV38" s="31"/>
      <c r="BEW38" s="31"/>
      <c r="BEX38" s="31"/>
      <c r="BEY38" s="31"/>
      <c r="BEZ38" s="31"/>
      <c r="BFA38" s="31"/>
      <c r="BFB38" s="31"/>
      <c r="BFC38" s="31"/>
      <c r="BFD38" s="31"/>
      <c r="BFE38" s="31"/>
      <c r="BFF38" s="31"/>
      <c r="BFG38" s="31"/>
      <c r="BFH38" s="31"/>
      <c r="BFI38" s="31"/>
      <c r="BFJ38" s="31"/>
      <c r="BFK38" s="31"/>
      <c r="BFL38" s="31"/>
      <c r="BFM38" s="31"/>
      <c r="BFN38" s="31"/>
      <c r="BFO38" s="31"/>
      <c r="BFP38" s="31"/>
      <c r="BFQ38" s="31"/>
      <c r="BFR38" s="31"/>
      <c r="BFS38" s="31"/>
      <c r="BFT38" s="31"/>
      <c r="BFU38" s="31"/>
      <c r="BFV38" s="31"/>
      <c r="BFW38" s="31"/>
      <c r="BFX38" s="31"/>
      <c r="BFY38" s="31"/>
      <c r="BFZ38" s="31"/>
      <c r="BGA38" s="31"/>
      <c r="BGB38" s="31"/>
      <c r="BGC38" s="31"/>
      <c r="BGD38" s="31"/>
      <c r="BGE38" s="31"/>
      <c r="BGF38" s="31"/>
      <c r="BGG38" s="31"/>
      <c r="BGH38" s="31"/>
      <c r="BGI38" s="31"/>
      <c r="BGJ38" s="31"/>
      <c r="BGK38" s="31"/>
      <c r="BGL38" s="31"/>
      <c r="BGM38" s="31"/>
      <c r="BGN38" s="31"/>
      <c r="BGO38" s="31"/>
      <c r="BGP38" s="31"/>
      <c r="BGQ38" s="31"/>
      <c r="BGR38" s="31"/>
      <c r="BGS38" s="31"/>
      <c r="BGT38" s="31"/>
      <c r="BGU38" s="31"/>
      <c r="BGV38" s="31"/>
      <c r="BGW38" s="31"/>
      <c r="BGX38" s="31"/>
      <c r="BGY38" s="31"/>
      <c r="BGZ38" s="31"/>
      <c r="BHA38" s="31"/>
      <c r="BHB38" s="31"/>
      <c r="BHC38" s="31"/>
      <c r="BHD38" s="31"/>
      <c r="BHE38" s="31"/>
      <c r="BHF38" s="31"/>
      <c r="BHG38" s="31"/>
      <c r="BHH38" s="31"/>
      <c r="BHI38" s="31"/>
      <c r="BHJ38" s="31"/>
      <c r="BHK38" s="31"/>
      <c r="BHL38" s="31"/>
      <c r="BHM38" s="31"/>
      <c r="BHN38" s="31"/>
      <c r="BHO38" s="31"/>
      <c r="BHP38" s="31"/>
      <c r="BHQ38" s="31"/>
      <c r="BHR38" s="31"/>
      <c r="BHS38" s="31"/>
      <c r="BHT38" s="31"/>
      <c r="BHU38" s="31"/>
      <c r="BHV38" s="31"/>
      <c r="BHW38" s="31"/>
      <c r="BHX38" s="31"/>
      <c r="BHY38" s="31"/>
      <c r="BHZ38" s="31"/>
      <c r="BIA38" s="31"/>
      <c r="BIB38" s="31"/>
      <c r="BIC38" s="31"/>
      <c r="BID38" s="31"/>
      <c r="BIE38" s="31"/>
      <c r="BIF38" s="31"/>
      <c r="BIG38" s="31"/>
      <c r="BIH38" s="31"/>
      <c r="BII38" s="31"/>
      <c r="BIJ38" s="31"/>
      <c r="BIK38" s="31"/>
      <c r="BIL38" s="31"/>
      <c r="BIM38" s="31"/>
      <c r="BIN38" s="31"/>
      <c r="BIO38" s="31"/>
      <c r="BIP38" s="31"/>
      <c r="BIQ38" s="31"/>
      <c r="BIR38" s="31"/>
      <c r="BIS38" s="31"/>
      <c r="BIT38" s="31"/>
      <c r="BIU38" s="31"/>
      <c r="BIV38" s="31"/>
      <c r="BIW38" s="31"/>
      <c r="BIX38" s="31"/>
      <c r="BIY38" s="31"/>
      <c r="BIZ38" s="31"/>
      <c r="BJA38" s="31"/>
      <c r="BJB38" s="31"/>
      <c r="BJC38" s="31"/>
      <c r="BJD38" s="31"/>
      <c r="BJE38" s="31"/>
      <c r="BJF38" s="31"/>
      <c r="BJG38" s="31"/>
      <c r="BJH38" s="31"/>
      <c r="BJI38" s="31"/>
      <c r="BJJ38" s="31"/>
      <c r="BJK38" s="31"/>
      <c r="BJL38" s="31"/>
      <c r="BJM38" s="31"/>
      <c r="BJN38" s="31"/>
      <c r="BJO38" s="31"/>
      <c r="BJP38" s="31"/>
      <c r="BJQ38" s="31"/>
      <c r="BJR38" s="31"/>
      <c r="BJS38" s="31"/>
      <c r="BJT38" s="31"/>
      <c r="BJU38" s="31"/>
      <c r="BJV38" s="31"/>
      <c r="BJW38" s="31"/>
      <c r="BJX38" s="31"/>
      <c r="BJY38" s="31"/>
      <c r="BJZ38" s="31"/>
      <c r="BKA38" s="31"/>
      <c r="BKB38" s="31"/>
      <c r="BKC38" s="31"/>
      <c r="BKD38" s="31"/>
      <c r="BKE38" s="31"/>
      <c r="BKF38" s="31"/>
      <c r="BKG38" s="31"/>
      <c r="BKH38" s="31"/>
      <c r="BKI38" s="31"/>
      <c r="BKJ38" s="31"/>
      <c r="BKK38" s="31"/>
      <c r="BKL38" s="31"/>
      <c r="BKM38" s="31"/>
      <c r="BKN38" s="31"/>
      <c r="BKO38" s="31"/>
      <c r="BKP38" s="31"/>
      <c r="BKQ38" s="31"/>
      <c r="BKR38" s="31"/>
      <c r="BKS38" s="31"/>
      <c r="BKT38" s="31"/>
      <c r="BKU38" s="31"/>
      <c r="BKV38" s="31"/>
      <c r="BKW38" s="31"/>
      <c r="BKX38" s="31"/>
      <c r="BKY38" s="31"/>
      <c r="BKZ38" s="31"/>
      <c r="BLA38" s="31"/>
      <c r="BLB38" s="31"/>
      <c r="BLC38" s="31"/>
      <c r="BLD38" s="31"/>
      <c r="BLE38" s="31"/>
      <c r="BLF38" s="31"/>
      <c r="BLG38" s="31"/>
      <c r="BLH38" s="31"/>
      <c r="BLI38" s="31"/>
      <c r="BLJ38" s="31"/>
      <c r="BLK38" s="31"/>
      <c r="BLL38" s="31"/>
      <c r="BLM38" s="31"/>
      <c r="BLN38" s="31"/>
      <c r="BLO38" s="31"/>
      <c r="BLP38" s="31"/>
      <c r="BLQ38" s="31"/>
      <c r="BLR38" s="31"/>
      <c r="BLS38" s="31"/>
      <c r="BLT38" s="31"/>
      <c r="BLU38" s="31"/>
      <c r="BLV38" s="31"/>
      <c r="BLW38" s="31"/>
      <c r="BLX38" s="31"/>
      <c r="BLY38" s="31"/>
      <c r="BLZ38" s="31"/>
      <c r="BMA38" s="31"/>
      <c r="BMB38" s="31"/>
      <c r="BMC38" s="31"/>
      <c r="BMD38" s="31"/>
      <c r="BME38" s="31"/>
      <c r="BMF38" s="31"/>
      <c r="BMG38" s="31"/>
      <c r="BMH38" s="31"/>
      <c r="BMI38" s="31"/>
      <c r="BMJ38" s="31"/>
      <c r="BMK38" s="31"/>
      <c r="BML38" s="31"/>
      <c r="BMM38" s="31"/>
      <c r="BMN38" s="31"/>
      <c r="BMO38" s="31"/>
      <c r="BMP38" s="31"/>
      <c r="BMQ38" s="31"/>
      <c r="BMR38" s="31"/>
      <c r="BMS38" s="31"/>
      <c r="BMT38" s="31"/>
      <c r="BMU38" s="31"/>
      <c r="BMV38" s="31"/>
      <c r="BMW38" s="31"/>
      <c r="BMX38" s="31"/>
      <c r="BMY38" s="31"/>
      <c r="BMZ38" s="31"/>
      <c r="BNA38" s="31"/>
      <c r="BNB38" s="31"/>
      <c r="BNC38" s="31"/>
      <c r="BND38" s="31"/>
      <c r="BNE38" s="31"/>
      <c r="BNF38" s="31"/>
      <c r="BNG38" s="31"/>
      <c r="BNH38" s="31"/>
      <c r="BNI38" s="31"/>
      <c r="BNJ38" s="31"/>
      <c r="BNK38" s="31"/>
      <c r="BNL38" s="31"/>
      <c r="BNM38" s="31"/>
      <c r="BNN38" s="31"/>
      <c r="BNO38" s="31"/>
      <c r="BNP38" s="31"/>
      <c r="BNQ38" s="31"/>
      <c r="BNR38" s="31"/>
      <c r="BNS38" s="31"/>
      <c r="BNT38" s="31"/>
      <c r="BNU38" s="31"/>
      <c r="BNV38" s="31"/>
      <c r="BNW38" s="31"/>
      <c r="BNX38" s="31"/>
      <c r="BNY38" s="31"/>
      <c r="BNZ38" s="31"/>
      <c r="BOA38" s="31"/>
      <c r="BOB38" s="31"/>
      <c r="BOC38" s="31"/>
      <c r="BOD38" s="31"/>
      <c r="BOE38" s="31"/>
      <c r="BOF38" s="31"/>
      <c r="BOG38" s="31"/>
      <c r="BOH38" s="31"/>
      <c r="BOI38" s="31"/>
      <c r="BOJ38" s="31"/>
      <c r="BOK38" s="31"/>
      <c r="BOL38" s="31"/>
      <c r="BOM38" s="31"/>
      <c r="BON38" s="31"/>
      <c r="BOO38" s="31"/>
      <c r="BOP38" s="31"/>
      <c r="BOQ38" s="31"/>
      <c r="BOR38" s="31"/>
      <c r="BOS38" s="31"/>
      <c r="BOT38" s="31"/>
      <c r="BOU38" s="31"/>
      <c r="BOV38" s="31"/>
      <c r="BOW38" s="31"/>
      <c r="BOX38" s="31"/>
      <c r="BOY38" s="31"/>
      <c r="BOZ38" s="31"/>
      <c r="BPA38" s="31"/>
      <c r="BPB38" s="31"/>
      <c r="BPC38" s="31"/>
      <c r="BPD38" s="31"/>
      <c r="BPE38" s="31"/>
      <c r="BPF38" s="31"/>
      <c r="BPG38" s="31"/>
      <c r="BPH38" s="31"/>
      <c r="BPI38" s="31"/>
      <c r="BPJ38" s="31"/>
      <c r="BPK38" s="31"/>
      <c r="BPL38" s="31"/>
      <c r="BPM38" s="31"/>
      <c r="BPN38" s="31"/>
      <c r="BPO38" s="31"/>
      <c r="BPP38" s="31"/>
      <c r="BPQ38" s="31"/>
      <c r="BPR38" s="31"/>
      <c r="BPS38" s="31"/>
      <c r="BPT38" s="31"/>
      <c r="BPU38" s="31"/>
      <c r="BPV38" s="31"/>
      <c r="BPW38" s="31"/>
      <c r="BPX38" s="31"/>
      <c r="BPY38" s="31"/>
      <c r="BPZ38" s="31"/>
      <c r="BQA38" s="31"/>
      <c r="BQB38" s="31"/>
      <c r="BQC38" s="31"/>
      <c r="BQD38" s="31"/>
      <c r="BQE38" s="31"/>
      <c r="BQF38" s="31"/>
      <c r="BQG38" s="31"/>
      <c r="BQH38" s="31"/>
      <c r="BQI38" s="31"/>
      <c r="BQJ38" s="31"/>
      <c r="BQK38" s="31"/>
      <c r="BQL38" s="31"/>
      <c r="BQM38" s="31"/>
      <c r="BQN38" s="31"/>
      <c r="BQO38" s="31"/>
      <c r="BQP38" s="31"/>
      <c r="BQQ38" s="31"/>
      <c r="BQR38" s="31"/>
      <c r="BQS38" s="31"/>
      <c r="BQT38" s="31"/>
      <c r="BQU38" s="31"/>
      <c r="BQV38" s="31"/>
      <c r="BQW38" s="31"/>
      <c r="BQX38" s="31"/>
      <c r="BQY38" s="31"/>
      <c r="BQZ38" s="31"/>
      <c r="BRA38" s="31"/>
      <c r="BRB38" s="31"/>
      <c r="BRC38" s="31"/>
      <c r="BRD38" s="31"/>
      <c r="BRE38" s="31"/>
      <c r="BRF38" s="31"/>
      <c r="BRG38" s="31"/>
      <c r="BRH38" s="31"/>
      <c r="BRI38" s="31"/>
      <c r="BRJ38" s="31"/>
      <c r="BRK38" s="31"/>
      <c r="BRL38" s="31"/>
      <c r="BRM38" s="31"/>
      <c r="BRN38" s="31"/>
      <c r="BRO38" s="31"/>
      <c r="BRP38" s="31"/>
      <c r="BRQ38" s="31"/>
      <c r="BRR38" s="31"/>
      <c r="BRS38" s="31"/>
      <c r="BRT38" s="31"/>
      <c r="BRU38" s="31"/>
      <c r="BRV38" s="31"/>
      <c r="BRW38" s="31"/>
      <c r="BRX38" s="31"/>
      <c r="BRY38" s="31"/>
      <c r="BRZ38" s="31"/>
      <c r="BSA38" s="31"/>
      <c r="BSB38" s="31"/>
      <c r="BSC38" s="31"/>
      <c r="BSD38" s="31"/>
      <c r="BSE38" s="31"/>
      <c r="BSF38" s="31"/>
      <c r="BSG38" s="31"/>
      <c r="BSH38" s="31"/>
      <c r="BSI38" s="31"/>
      <c r="BSJ38" s="31"/>
      <c r="BSK38" s="31"/>
      <c r="BSL38" s="31"/>
      <c r="BSM38" s="31"/>
      <c r="BSN38" s="31"/>
      <c r="BSO38" s="31"/>
      <c r="BSP38" s="31"/>
      <c r="BSQ38" s="31"/>
      <c r="BSR38" s="31"/>
      <c r="BSS38" s="31"/>
      <c r="BST38" s="31"/>
      <c r="BSU38" s="31"/>
      <c r="BSV38" s="31"/>
      <c r="BSW38" s="31"/>
      <c r="BSX38" s="31"/>
      <c r="BSY38" s="31"/>
      <c r="BSZ38" s="31"/>
      <c r="BTA38" s="31"/>
      <c r="BTB38" s="31"/>
      <c r="BTC38" s="31"/>
      <c r="BTD38" s="31"/>
      <c r="BTE38" s="31"/>
      <c r="BTF38" s="31"/>
      <c r="BTG38" s="31"/>
      <c r="BTH38" s="31"/>
      <c r="BTI38" s="31"/>
      <c r="BTJ38" s="31"/>
      <c r="BTK38" s="31"/>
      <c r="BTL38" s="31"/>
      <c r="BTM38" s="31"/>
      <c r="BTN38" s="31"/>
      <c r="BTO38" s="31"/>
      <c r="BTP38" s="31"/>
      <c r="BTQ38" s="31"/>
      <c r="BTR38" s="31"/>
      <c r="BTS38" s="31"/>
      <c r="BTT38" s="31"/>
      <c r="BTU38" s="31"/>
      <c r="BTV38" s="31"/>
      <c r="BTW38" s="31"/>
      <c r="BTX38" s="31"/>
      <c r="BTY38" s="31"/>
      <c r="BTZ38" s="31"/>
      <c r="BUA38" s="31"/>
      <c r="BUB38" s="31"/>
      <c r="BUC38" s="31"/>
      <c r="BUD38" s="31"/>
      <c r="BUE38" s="31"/>
      <c r="BUF38" s="31"/>
      <c r="BUG38" s="31"/>
      <c r="BUH38" s="31"/>
      <c r="BUI38" s="31"/>
      <c r="BUJ38" s="31"/>
      <c r="BUK38" s="31"/>
      <c r="BUL38" s="31"/>
      <c r="BUM38" s="31"/>
      <c r="BUN38" s="31"/>
      <c r="BUO38" s="31"/>
      <c r="BUP38" s="31"/>
      <c r="BUQ38" s="31"/>
      <c r="BUR38" s="31"/>
      <c r="BUS38" s="31"/>
      <c r="BUT38" s="31"/>
      <c r="BUU38" s="31"/>
      <c r="BUV38" s="31"/>
      <c r="BUW38" s="31"/>
      <c r="BUX38" s="31"/>
      <c r="BUY38" s="31"/>
      <c r="BUZ38" s="31"/>
      <c r="BVA38" s="31"/>
      <c r="BVB38" s="31"/>
      <c r="BVC38" s="31"/>
      <c r="BVD38" s="31"/>
      <c r="BVE38" s="31"/>
      <c r="BVF38" s="31"/>
      <c r="BVG38" s="31"/>
      <c r="BVH38" s="31"/>
      <c r="BVI38" s="31"/>
      <c r="BVJ38" s="31"/>
      <c r="BVK38" s="31"/>
      <c r="BVL38" s="31"/>
      <c r="BVM38" s="31"/>
      <c r="BVN38" s="31"/>
      <c r="BVO38" s="31"/>
      <c r="BVP38" s="31"/>
      <c r="BVQ38" s="31"/>
      <c r="BVR38" s="31"/>
      <c r="BVS38" s="31"/>
      <c r="BVT38" s="31"/>
      <c r="BVU38" s="31"/>
      <c r="BVV38" s="31"/>
      <c r="BVW38" s="31"/>
      <c r="BVX38" s="31"/>
      <c r="BVY38" s="31"/>
      <c r="BVZ38" s="31"/>
      <c r="BWA38" s="31"/>
      <c r="BWB38" s="31"/>
      <c r="BWC38" s="31"/>
      <c r="BWD38" s="31"/>
      <c r="BWE38" s="31"/>
      <c r="BWF38" s="31"/>
      <c r="BWG38" s="31"/>
      <c r="BWH38" s="31"/>
      <c r="BWI38" s="31"/>
      <c r="BWJ38" s="31"/>
      <c r="BWK38" s="31"/>
      <c r="BWL38" s="31"/>
      <c r="BWM38" s="31"/>
      <c r="BWN38" s="31"/>
      <c r="BWO38" s="31"/>
      <c r="BWP38" s="31"/>
      <c r="BWQ38" s="31"/>
      <c r="BWR38" s="31"/>
      <c r="BWS38" s="31"/>
      <c r="BWT38" s="31"/>
      <c r="BWU38" s="31"/>
      <c r="BWV38" s="31"/>
      <c r="BWW38" s="31"/>
      <c r="BWX38" s="31"/>
      <c r="BWY38" s="31"/>
      <c r="BWZ38" s="31"/>
      <c r="BXA38" s="31"/>
      <c r="BXB38" s="31"/>
      <c r="BXC38" s="31"/>
      <c r="BXD38" s="31"/>
      <c r="BXE38" s="31"/>
      <c r="BXF38" s="31"/>
      <c r="BXG38" s="31"/>
      <c r="BXH38" s="31"/>
      <c r="BXI38" s="31"/>
      <c r="BXJ38" s="31"/>
      <c r="BXK38" s="31"/>
      <c r="BXL38" s="31"/>
      <c r="BXM38" s="31"/>
      <c r="BXN38" s="31"/>
      <c r="BXO38" s="31"/>
      <c r="BXP38" s="31"/>
      <c r="BXQ38" s="31"/>
      <c r="BXR38" s="31"/>
      <c r="BXS38" s="31"/>
      <c r="BXT38" s="31"/>
      <c r="BXU38" s="31"/>
      <c r="BXV38" s="31"/>
      <c r="BXW38" s="31"/>
      <c r="BXX38" s="31"/>
      <c r="BXY38" s="31"/>
      <c r="BXZ38" s="31"/>
      <c r="BYA38" s="31"/>
      <c r="BYB38" s="31"/>
      <c r="BYC38" s="31"/>
      <c r="BYD38" s="31"/>
      <c r="BYE38" s="31"/>
      <c r="BYF38" s="31"/>
      <c r="BYG38" s="31"/>
      <c r="BYH38" s="31"/>
      <c r="BYI38" s="31"/>
      <c r="BYJ38" s="31"/>
      <c r="BYK38" s="31"/>
      <c r="BYL38" s="31"/>
      <c r="BYM38" s="31"/>
      <c r="BYN38" s="31"/>
      <c r="BYO38" s="31"/>
      <c r="BYP38" s="31"/>
      <c r="BYQ38" s="31"/>
      <c r="BYR38" s="31"/>
      <c r="BYS38" s="31"/>
      <c r="BYT38" s="31"/>
      <c r="BYU38" s="31"/>
      <c r="BYV38" s="31"/>
      <c r="BYW38" s="31"/>
      <c r="BYX38" s="31"/>
      <c r="BYY38" s="31"/>
      <c r="BYZ38" s="31"/>
      <c r="BZA38" s="31"/>
      <c r="BZB38" s="31"/>
      <c r="BZC38" s="31"/>
      <c r="BZD38" s="31"/>
      <c r="BZE38" s="31"/>
      <c r="BZF38" s="31"/>
      <c r="BZG38" s="31"/>
      <c r="BZH38" s="31"/>
      <c r="BZI38" s="31"/>
      <c r="BZJ38" s="31"/>
      <c r="BZK38" s="31"/>
      <c r="BZL38" s="31"/>
      <c r="BZM38" s="31"/>
      <c r="BZN38" s="31"/>
      <c r="BZO38" s="31"/>
      <c r="BZP38" s="31"/>
      <c r="BZQ38" s="31"/>
      <c r="BZR38" s="31"/>
      <c r="BZS38" s="31"/>
      <c r="BZT38" s="31"/>
      <c r="BZU38" s="31"/>
      <c r="BZV38" s="31"/>
      <c r="BZW38" s="31"/>
      <c r="BZX38" s="31"/>
      <c r="BZY38" s="31"/>
      <c r="BZZ38" s="31"/>
      <c r="CAA38" s="31"/>
      <c r="CAB38" s="31"/>
      <c r="CAC38" s="31"/>
      <c r="CAD38" s="31"/>
      <c r="CAE38" s="31"/>
      <c r="CAF38" s="31"/>
      <c r="CAG38" s="31"/>
      <c r="CAH38" s="31"/>
      <c r="CAI38" s="31"/>
      <c r="CAJ38" s="31"/>
      <c r="CAK38" s="31"/>
      <c r="CAL38" s="31"/>
      <c r="CAM38" s="31"/>
      <c r="CAN38" s="31"/>
      <c r="CAO38" s="31"/>
      <c r="CAP38" s="31"/>
      <c r="CAQ38" s="31"/>
      <c r="CAR38" s="31"/>
      <c r="CAS38" s="31"/>
      <c r="CAT38" s="31"/>
      <c r="CAU38" s="31"/>
      <c r="CAV38" s="31"/>
      <c r="CAW38" s="31"/>
      <c r="CAX38" s="31"/>
      <c r="CAY38" s="31"/>
      <c r="CAZ38" s="31"/>
      <c r="CBA38" s="31"/>
      <c r="CBB38" s="31"/>
      <c r="CBC38" s="31"/>
      <c r="CBD38" s="31"/>
      <c r="CBE38" s="31"/>
      <c r="CBF38" s="31"/>
      <c r="CBG38" s="31"/>
      <c r="CBH38" s="31"/>
      <c r="CBI38" s="31"/>
      <c r="CBJ38" s="31"/>
      <c r="CBK38" s="31"/>
      <c r="CBL38" s="31"/>
      <c r="CBM38" s="31"/>
      <c r="CBN38" s="31"/>
      <c r="CBO38" s="31"/>
      <c r="CBP38" s="31"/>
      <c r="CBQ38" s="31"/>
      <c r="CBR38" s="31"/>
      <c r="CBS38" s="31"/>
      <c r="CBT38" s="31"/>
      <c r="CBU38" s="31"/>
      <c r="CBV38" s="31"/>
      <c r="CBW38" s="31"/>
      <c r="CBX38" s="31"/>
      <c r="CBY38" s="31"/>
      <c r="CBZ38" s="31"/>
      <c r="CCA38" s="31"/>
      <c r="CCB38" s="31"/>
      <c r="CCC38" s="31"/>
      <c r="CCD38" s="31"/>
      <c r="CCE38" s="31"/>
      <c r="CCF38" s="31"/>
      <c r="CCG38" s="31"/>
      <c r="CCH38" s="31"/>
      <c r="CCI38" s="31"/>
      <c r="CCJ38" s="31"/>
      <c r="CCK38" s="31"/>
      <c r="CCL38" s="31"/>
      <c r="CCM38" s="31"/>
      <c r="CCN38" s="31"/>
      <c r="CCO38" s="31"/>
      <c r="CCP38" s="31"/>
      <c r="CCQ38" s="31"/>
      <c r="CCR38" s="31"/>
      <c r="CCS38" s="31"/>
      <c r="CCT38" s="31"/>
      <c r="CCU38" s="31"/>
      <c r="CCV38" s="31"/>
      <c r="CCW38" s="31"/>
      <c r="CCX38" s="31"/>
      <c r="CCY38" s="31"/>
      <c r="CCZ38" s="31"/>
      <c r="CDA38" s="31"/>
      <c r="CDB38" s="31"/>
      <c r="CDC38" s="31"/>
      <c r="CDD38" s="31"/>
      <c r="CDE38" s="31"/>
      <c r="CDF38" s="31"/>
      <c r="CDG38" s="31"/>
      <c r="CDH38" s="31"/>
      <c r="CDI38" s="31"/>
      <c r="CDJ38" s="31"/>
      <c r="CDK38" s="31"/>
      <c r="CDL38" s="31"/>
      <c r="CDM38" s="31"/>
      <c r="CDN38" s="31"/>
      <c r="CDO38" s="31"/>
      <c r="CDP38" s="31"/>
      <c r="CDQ38" s="31"/>
      <c r="CDR38" s="31"/>
      <c r="CDS38" s="31"/>
      <c r="CDT38" s="31"/>
      <c r="CDU38" s="31"/>
      <c r="CDV38" s="31"/>
      <c r="CDW38" s="31"/>
      <c r="CDX38" s="31"/>
      <c r="CDY38" s="31"/>
      <c r="CDZ38" s="31"/>
      <c r="CEA38" s="31"/>
      <c r="CEB38" s="31"/>
      <c r="CEC38" s="31"/>
      <c r="CED38" s="31"/>
      <c r="CEE38" s="31"/>
      <c r="CEF38" s="31"/>
      <c r="CEG38" s="31"/>
      <c r="CEH38" s="31"/>
      <c r="CEI38" s="31"/>
      <c r="CEJ38" s="31"/>
      <c r="CEK38" s="31"/>
      <c r="CEL38" s="31"/>
      <c r="CEM38" s="31"/>
      <c r="CEN38" s="31"/>
      <c r="CEO38" s="31"/>
      <c r="CEP38" s="31"/>
      <c r="CEQ38" s="31"/>
      <c r="CER38" s="31"/>
      <c r="CES38" s="31"/>
      <c r="CET38" s="31"/>
      <c r="CEU38" s="31"/>
      <c r="CEV38" s="31"/>
      <c r="CEW38" s="31"/>
      <c r="CEX38" s="31"/>
      <c r="CEY38" s="31"/>
      <c r="CEZ38" s="31"/>
      <c r="CFA38" s="31"/>
      <c r="CFB38" s="31"/>
      <c r="CFC38" s="31"/>
      <c r="CFD38" s="31"/>
      <c r="CFE38" s="31"/>
      <c r="CFF38" s="31"/>
      <c r="CFG38" s="31"/>
      <c r="CFH38" s="31"/>
      <c r="CFI38" s="31"/>
      <c r="CFJ38" s="31"/>
      <c r="CFK38" s="31"/>
      <c r="CFL38" s="31"/>
      <c r="CFM38" s="31"/>
      <c r="CFN38" s="31"/>
      <c r="CFO38" s="31"/>
      <c r="CFP38" s="31"/>
      <c r="CFQ38" s="31"/>
      <c r="CFR38" s="31"/>
      <c r="CFS38" s="31"/>
      <c r="CFT38" s="31"/>
      <c r="CFU38" s="31"/>
      <c r="CFV38" s="31"/>
      <c r="CFW38" s="31"/>
      <c r="CFX38" s="31"/>
      <c r="CFY38" s="31"/>
      <c r="CFZ38" s="31"/>
      <c r="CGA38" s="31"/>
      <c r="CGB38" s="31"/>
      <c r="CGC38" s="31"/>
      <c r="CGD38" s="31"/>
      <c r="CGE38" s="31"/>
      <c r="CGF38" s="31"/>
      <c r="CGG38" s="31"/>
      <c r="CGH38" s="31"/>
      <c r="CGI38" s="31"/>
      <c r="CGJ38" s="31"/>
      <c r="CGK38" s="31"/>
      <c r="CGL38" s="31"/>
      <c r="CGM38" s="31"/>
      <c r="CGN38" s="31"/>
      <c r="CGO38" s="31"/>
      <c r="CGP38" s="31"/>
      <c r="CGQ38" s="31"/>
      <c r="CGR38" s="31"/>
      <c r="CGS38" s="31"/>
      <c r="CGT38" s="31"/>
      <c r="CGU38" s="31"/>
      <c r="CGV38" s="31"/>
      <c r="CGW38" s="31"/>
      <c r="CGX38" s="31"/>
      <c r="CGY38" s="31"/>
      <c r="CGZ38" s="31"/>
      <c r="CHA38" s="31"/>
      <c r="CHB38" s="31"/>
      <c r="CHC38" s="31"/>
      <c r="CHD38" s="31"/>
      <c r="CHE38" s="31"/>
      <c r="CHF38" s="31"/>
      <c r="CHG38" s="31"/>
      <c r="CHH38" s="31"/>
      <c r="CHI38" s="31"/>
      <c r="CHJ38" s="31"/>
      <c r="CHK38" s="31"/>
      <c r="CHL38" s="31"/>
      <c r="CHM38" s="31"/>
      <c r="CHN38" s="31"/>
      <c r="CHO38" s="31"/>
      <c r="CHP38" s="31"/>
      <c r="CHQ38" s="31"/>
      <c r="CHR38" s="31"/>
      <c r="CHS38" s="31"/>
      <c r="CHT38" s="31"/>
      <c r="CHU38" s="31"/>
      <c r="CHV38" s="31"/>
      <c r="CHW38" s="31"/>
      <c r="CHX38" s="31"/>
      <c r="CHY38" s="31"/>
      <c r="CHZ38" s="31"/>
      <c r="CIA38" s="31"/>
      <c r="CIB38" s="31"/>
      <c r="CIC38" s="31"/>
      <c r="CID38" s="31"/>
      <c r="CIE38" s="31"/>
      <c r="CIF38" s="31"/>
      <c r="CIG38" s="31"/>
      <c r="CIH38" s="31"/>
      <c r="CII38" s="31"/>
      <c r="CIJ38" s="31"/>
      <c r="CIK38" s="31"/>
      <c r="CIL38" s="31"/>
      <c r="CIM38" s="31"/>
      <c r="CIN38" s="31"/>
      <c r="CIO38" s="31"/>
      <c r="CIP38" s="31"/>
      <c r="CIQ38" s="31"/>
      <c r="CIR38" s="31"/>
      <c r="CIS38" s="31"/>
      <c r="CIT38" s="31"/>
      <c r="CIU38" s="31"/>
      <c r="CIV38" s="31"/>
      <c r="CIW38" s="31"/>
      <c r="CIX38" s="31"/>
      <c r="CIY38" s="31"/>
      <c r="CIZ38" s="31"/>
      <c r="CJA38" s="31"/>
      <c r="CJB38" s="31"/>
      <c r="CJC38" s="31"/>
      <c r="CJD38" s="31"/>
      <c r="CJE38" s="31"/>
      <c r="CJF38" s="31"/>
      <c r="CJG38" s="31"/>
      <c r="CJH38" s="31"/>
      <c r="CJI38" s="31"/>
      <c r="CJJ38" s="31"/>
      <c r="CJK38" s="31"/>
      <c r="CJL38" s="31"/>
      <c r="CJM38" s="31"/>
      <c r="CJN38" s="31"/>
      <c r="CJO38" s="31"/>
      <c r="CJP38" s="31"/>
      <c r="CJQ38" s="31"/>
      <c r="CJR38" s="31"/>
      <c r="CJS38" s="31"/>
      <c r="CJT38" s="31"/>
      <c r="CJU38" s="31"/>
      <c r="CJV38" s="31"/>
      <c r="CJW38" s="31"/>
      <c r="CJX38" s="31"/>
      <c r="CJY38" s="31"/>
      <c r="CJZ38" s="31"/>
      <c r="CKA38" s="31"/>
      <c r="CKB38" s="31"/>
      <c r="CKC38" s="31"/>
      <c r="CKD38" s="31"/>
      <c r="CKE38" s="31"/>
      <c r="CKF38" s="31"/>
      <c r="CKG38" s="31"/>
      <c r="CKH38" s="31"/>
      <c r="CKI38" s="31"/>
      <c r="CKJ38" s="31"/>
      <c r="CKK38" s="31"/>
      <c r="CKL38" s="31"/>
      <c r="CKM38" s="31"/>
      <c r="CKN38" s="31"/>
      <c r="CKO38" s="31"/>
      <c r="CKP38" s="31"/>
      <c r="CKQ38" s="31"/>
      <c r="CKR38" s="31"/>
      <c r="CKS38" s="31"/>
      <c r="CKT38" s="31"/>
      <c r="CKU38" s="31"/>
      <c r="CKV38" s="31"/>
      <c r="CKW38" s="31"/>
      <c r="CKX38" s="31"/>
      <c r="CKY38" s="31"/>
      <c r="CKZ38" s="31"/>
      <c r="CLA38" s="31"/>
      <c r="CLB38" s="31"/>
      <c r="CLC38" s="31"/>
      <c r="CLD38" s="31"/>
      <c r="CLE38" s="31"/>
      <c r="CLF38" s="31"/>
      <c r="CLG38" s="31"/>
      <c r="CLH38" s="31"/>
      <c r="CLI38" s="31"/>
      <c r="CLJ38" s="31"/>
      <c r="CLK38" s="31"/>
      <c r="CLL38" s="31"/>
      <c r="CLM38" s="31"/>
      <c r="CLN38" s="31"/>
      <c r="CLO38" s="31"/>
      <c r="CLP38" s="31"/>
      <c r="CLQ38" s="31"/>
      <c r="CLR38" s="31"/>
      <c r="CLS38" s="31"/>
      <c r="CLT38" s="31"/>
      <c r="CLU38" s="31"/>
      <c r="CLV38" s="31"/>
      <c r="CLW38" s="31"/>
      <c r="CLX38" s="31"/>
      <c r="CLY38" s="31"/>
      <c r="CLZ38" s="31"/>
      <c r="CMA38" s="31"/>
      <c r="CMB38" s="31"/>
      <c r="CMC38" s="31"/>
      <c r="CMD38" s="31"/>
      <c r="CME38" s="31"/>
      <c r="CMF38" s="31"/>
      <c r="CMG38" s="31"/>
      <c r="CMH38" s="31"/>
      <c r="CMI38" s="31"/>
      <c r="CMJ38" s="31"/>
      <c r="CMK38" s="31"/>
      <c r="CML38" s="31"/>
      <c r="CMM38" s="31"/>
      <c r="CMN38" s="31"/>
      <c r="CMO38" s="31"/>
      <c r="CMP38" s="31"/>
      <c r="CMQ38" s="31"/>
      <c r="CMR38" s="31"/>
      <c r="CMS38" s="31"/>
      <c r="CMT38" s="31"/>
      <c r="CMU38" s="31"/>
      <c r="CMV38" s="31"/>
      <c r="CMW38" s="31"/>
      <c r="CMX38" s="31"/>
      <c r="CMY38" s="31"/>
      <c r="CMZ38" s="31"/>
      <c r="CNA38" s="31"/>
      <c r="CNB38" s="31"/>
      <c r="CNC38" s="31"/>
      <c r="CND38" s="31"/>
      <c r="CNE38" s="31"/>
      <c r="CNF38" s="31"/>
      <c r="CNG38" s="31"/>
      <c r="CNH38" s="31"/>
      <c r="CNI38" s="31"/>
      <c r="CNJ38" s="31"/>
      <c r="CNK38" s="31"/>
      <c r="CNL38" s="31"/>
      <c r="CNM38" s="31"/>
      <c r="CNN38" s="31"/>
      <c r="CNO38" s="31"/>
      <c r="CNP38" s="31"/>
      <c r="CNQ38" s="31"/>
      <c r="CNR38" s="31"/>
      <c r="CNS38" s="31"/>
      <c r="CNT38" s="31"/>
      <c r="CNU38" s="31"/>
      <c r="CNV38" s="31"/>
      <c r="CNW38" s="31"/>
      <c r="CNX38" s="31"/>
      <c r="CNY38" s="31"/>
      <c r="CNZ38" s="31"/>
      <c r="COA38" s="31"/>
      <c r="COB38" s="31"/>
      <c r="COC38" s="31"/>
      <c r="COD38" s="31"/>
      <c r="COE38" s="31"/>
      <c r="COF38" s="31"/>
      <c r="COG38" s="31"/>
      <c r="COH38" s="31"/>
      <c r="COI38" s="31"/>
      <c r="COJ38" s="31"/>
      <c r="COK38" s="31"/>
      <c r="COL38" s="31"/>
      <c r="COM38" s="31"/>
      <c r="CON38" s="31"/>
      <c r="COO38" s="31"/>
      <c r="COP38" s="31"/>
      <c r="COQ38" s="31"/>
      <c r="COR38" s="31"/>
      <c r="COS38" s="31"/>
      <c r="COT38" s="31"/>
      <c r="COU38" s="31"/>
      <c r="COV38" s="31"/>
      <c r="COW38" s="31"/>
      <c r="COX38" s="31"/>
      <c r="COY38" s="31"/>
      <c r="COZ38" s="31"/>
      <c r="CPA38" s="31"/>
      <c r="CPB38" s="31"/>
      <c r="CPC38" s="31"/>
      <c r="CPD38" s="31"/>
      <c r="CPE38" s="31"/>
      <c r="CPF38" s="31"/>
      <c r="CPG38" s="31"/>
      <c r="CPH38" s="31"/>
      <c r="CPI38" s="31"/>
      <c r="CPJ38" s="31"/>
      <c r="CPK38" s="31"/>
      <c r="CPL38" s="31"/>
      <c r="CPM38" s="31"/>
      <c r="CPN38" s="31"/>
      <c r="CPO38" s="31"/>
      <c r="CPP38" s="31"/>
      <c r="CPQ38" s="31"/>
      <c r="CPR38" s="31"/>
      <c r="CPS38" s="31"/>
      <c r="CPT38" s="31"/>
      <c r="CPU38" s="31"/>
      <c r="CPV38" s="31"/>
      <c r="CPW38" s="31"/>
      <c r="CPX38" s="31"/>
      <c r="CPY38" s="31"/>
      <c r="CPZ38" s="31"/>
      <c r="CQA38" s="31"/>
      <c r="CQB38" s="31"/>
      <c r="CQC38" s="31"/>
      <c r="CQD38" s="31"/>
      <c r="CQE38" s="31"/>
      <c r="CQF38" s="31"/>
      <c r="CQG38" s="31"/>
      <c r="CQH38" s="31"/>
      <c r="CQI38" s="31"/>
      <c r="CQJ38" s="31"/>
      <c r="CQK38" s="31"/>
      <c r="CQL38" s="31"/>
      <c r="CQM38" s="31"/>
      <c r="CQN38" s="31"/>
      <c r="CQO38" s="31"/>
      <c r="CQP38" s="31"/>
      <c r="CQQ38" s="31"/>
      <c r="CQR38" s="31"/>
      <c r="CQS38" s="31"/>
      <c r="CQT38" s="31"/>
      <c r="CQU38" s="31"/>
      <c r="CQV38" s="31"/>
      <c r="CQW38" s="31"/>
      <c r="CQX38" s="31"/>
      <c r="CQY38" s="31"/>
      <c r="CQZ38" s="31"/>
      <c r="CRA38" s="31"/>
      <c r="CRB38" s="31"/>
      <c r="CRC38" s="31"/>
      <c r="CRD38" s="31"/>
      <c r="CRE38" s="31"/>
      <c r="CRF38" s="31"/>
      <c r="CRG38" s="31"/>
      <c r="CRH38" s="31"/>
      <c r="CRI38" s="31"/>
      <c r="CRJ38" s="31"/>
      <c r="CRK38" s="31"/>
      <c r="CRL38" s="31"/>
      <c r="CRM38" s="31"/>
      <c r="CRN38" s="31"/>
      <c r="CRO38" s="31"/>
      <c r="CRP38" s="31"/>
      <c r="CRQ38" s="31"/>
      <c r="CRR38" s="31"/>
      <c r="CRS38" s="31"/>
      <c r="CRT38" s="31"/>
      <c r="CRU38" s="31"/>
      <c r="CRV38" s="31"/>
      <c r="CRW38" s="31"/>
      <c r="CRX38" s="31"/>
      <c r="CRY38" s="31"/>
      <c r="CRZ38" s="31"/>
      <c r="CSA38" s="31"/>
      <c r="CSB38" s="31"/>
      <c r="CSC38" s="31"/>
      <c r="CSD38" s="31"/>
      <c r="CSE38" s="31"/>
      <c r="CSF38" s="31"/>
      <c r="CSG38" s="31"/>
      <c r="CSH38" s="31"/>
      <c r="CSI38" s="31"/>
      <c r="CSJ38" s="31"/>
      <c r="CSK38" s="31"/>
      <c r="CSL38" s="31"/>
      <c r="CSM38" s="31"/>
      <c r="CSN38" s="31"/>
      <c r="CSO38" s="31"/>
      <c r="CSP38" s="31"/>
      <c r="CSQ38" s="31"/>
      <c r="CSR38" s="31"/>
      <c r="CSS38" s="31"/>
      <c r="CST38" s="31"/>
      <c r="CSU38" s="31"/>
      <c r="CSV38" s="31"/>
      <c r="CSW38" s="31"/>
      <c r="CSX38" s="31"/>
      <c r="CSY38" s="31"/>
      <c r="CSZ38" s="31"/>
      <c r="CTA38" s="31"/>
      <c r="CTB38" s="31"/>
      <c r="CTC38" s="31"/>
      <c r="CTD38" s="31"/>
      <c r="CTE38" s="31"/>
      <c r="CTF38" s="31"/>
      <c r="CTG38" s="31"/>
      <c r="CTH38" s="31"/>
      <c r="CTI38" s="31"/>
      <c r="CTJ38" s="31"/>
      <c r="CTK38" s="31"/>
      <c r="CTL38" s="31"/>
      <c r="CTM38" s="31"/>
      <c r="CTN38" s="31"/>
      <c r="CTO38" s="31"/>
      <c r="CTP38" s="31"/>
      <c r="CTQ38" s="31"/>
      <c r="CTR38" s="31"/>
      <c r="CTS38" s="31"/>
      <c r="CTT38" s="31"/>
      <c r="CTU38" s="31"/>
      <c r="CTV38" s="31"/>
      <c r="CTW38" s="31"/>
      <c r="CTX38" s="31"/>
      <c r="CTY38" s="31"/>
      <c r="CTZ38" s="31"/>
      <c r="CUA38" s="31"/>
      <c r="CUB38" s="31"/>
      <c r="CUC38" s="31"/>
      <c r="CUD38" s="31"/>
      <c r="CUE38" s="31"/>
      <c r="CUF38" s="31"/>
      <c r="CUG38" s="31"/>
      <c r="CUH38" s="31"/>
      <c r="CUI38" s="31"/>
      <c r="CUJ38" s="31"/>
      <c r="CUK38" s="31"/>
      <c r="CUL38" s="31"/>
      <c r="CUM38" s="31"/>
      <c r="CUN38" s="31"/>
      <c r="CUO38" s="31"/>
      <c r="CUP38" s="31"/>
      <c r="CUQ38" s="31"/>
      <c r="CUR38" s="31"/>
      <c r="CUS38" s="31"/>
      <c r="CUT38" s="31"/>
      <c r="CUU38" s="31"/>
      <c r="CUV38" s="31"/>
      <c r="CUW38" s="31"/>
      <c r="CUX38" s="31"/>
      <c r="CUY38" s="31"/>
      <c r="CUZ38" s="31"/>
      <c r="CVA38" s="31"/>
      <c r="CVB38" s="31"/>
      <c r="CVC38" s="31"/>
      <c r="CVD38" s="31"/>
      <c r="CVE38" s="31"/>
      <c r="CVF38" s="31"/>
      <c r="CVG38" s="31"/>
      <c r="CVH38" s="31"/>
      <c r="CVI38" s="31"/>
      <c r="CVJ38" s="31"/>
      <c r="CVK38" s="31"/>
      <c r="CVL38" s="31"/>
      <c r="CVM38" s="31"/>
      <c r="CVN38" s="31"/>
      <c r="CVO38" s="31"/>
      <c r="CVP38" s="31"/>
      <c r="CVQ38" s="31"/>
      <c r="CVR38" s="31"/>
      <c r="CVS38" s="31"/>
      <c r="CVT38" s="31"/>
      <c r="CVU38" s="31"/>
      <c r="CVV38" s="31"/>
      <c r="CVW38" s="31"/>
      <c r="CVX38" s="31"/>
      <c r="CVY38" s="31"/>
      <c r="CVZ38" s="31"/>
      <c r="CWA38" s="31"/>
      <c r="CWB38" s="31"/>
      <c r="CWC38" s="31"/>
      <c r="CWD38" s="31"/>
      <c r="CWE38" s="31"/>
      <c r="CWF38" s="31"/>
      <c r="CWG38" s="31"/>
      <c r="CWH38" s="31"/>
      <c r="CWI38" s="31"/>
      <c r="CWJ38" s="31"/>
      <c r="CWK38" s="31"/>
      <c r="CWL38" s="31"/>
      <c r="CWM38" s="31"/>
      <c r="CWN38" s="31"/>
      <c r="CWO38" s="31"/>
      <c r="CWP38" s="31"/>
      <c r="CWQ38" s="31"/>
      <c r="CWR38" s="31"/>
      <c r="CWS38" s="31"/>
      <c r="CWT38" s="31"/>
      <c r="CWU38" s="31"/>
      <c r="CWV38" s="31"/>
      <c r="CWW38" s="31"/>
      <c r="CWX38" s="31"/>
      <c r="CWY38" s="31"/>
      <c r="CWZ38" s="31"/>
      <c r="CXA38" s="31"/>
      <c r="CXB38" s="31"/>
      <c r="CXC38" s="31"/>
      <c r="CXD38" s="31"/>
      <c r="CXE38" s="31"/>
      <c r="CXF38" s="31"/>
      <c r="CXG38" s="31"/>
      <c r="CXH38" s="31"/>
      <c r="CXI38" s="31"/>
      <c r="CXJ38" s="31"/>
      <c r="CXK38" s="31"/>
      <c r="CXL38" s="31"/>
      <c r="CXM38" s="31"/>
      <c r="CXN38" s="31"/>
      <c r="CXO38" s="31"/>
      <c r="CXP38" s="31"/>
      <c r="CXQ38" s="31"/>
      <c r="CXR38" s="31"/>
      <c r="CXS38" s="31"/>
      <c r="CXT38" s="31"/>
      <c r="CXU38" s="31"/>
      <c r="CXV38" s="31"/>
      <c r="CXW38" s="31"/>
      <c r="CXX38" s="31"/>
      <c r="CXY38" s="31"/>
      <c r="CXZ38" s="31"/>
      <c r="CYA38" s="31"/>
      <c r="CYB38" s="31"/>
      <c r="CYC38" s="31"/>
      <c r="CYD38" s="31"/>
      <c r="CYE38" s="31"/>
      <c r="CYF38" s="31"/>
      <c r="CYG38" s="31"/>
      <c r="CYH38" s="31"/>
      <c r="CYI38" s="31"/>
      <c r="CYJ38" s="31"/>
      <c r="CYK38" s="31"/>
      <c r="CYL38" s="31"/>
      <c r="CYM38" s="31"/>
      <c r="CYN38" s="31"/>
      <c r="CYO38" s="31"/>
      <c r="CYP38" s="31"/>
      <c r="CYQ38" s="31"/>
      <c r="CYR38" s="31"/>
      <c r="CYS38" s="31"/>
      <c r="CYT38" s="31"/>
      <c r="CYU38" s="31"/>
      <c r="CYV38" s="31"/>
      <c r="CYW38" s="31"/>
      <c r="CYX38" s="31"/>
      <c r="CYY38" s="31"/>
      <c r="CYZ38" s="31"/>
      <c r="CZA38" s="31"/>
      <c r="CZB38" s="31"/>
      <c r="CZC38" s="31"/>
      <c r="CZD38" s="31"/>
      <c r="CZE38" s="31"/>
      <c r="CZF38" s="31"/>
      <c r="CZG38" s="31"/>
      <c r="CZH38" s="31"/>
      <c r="CZI38" s="31"/>
      <c r="CZJ38" s="31"/>
      <c r="CZK38" s="31"/>
      <c r="CZL38" s="31"/>
      <c r="CZM38" s="31"/>
      <c r="CZN38" s="31"/>
      <c r="CZO38" s="31"/>
      <c r="CZP38" s="31"/>
      <c r="CZQ38" s="31"/>
      <c r="CZR38" s="31"/>
      <c r="CZS38" s="31"/>
      <c r="CZT38" s="31"/>
      <c r="CZU38" s="31"/>
      <c r="CZV38" s="31"/>
      <c r="CZW38" s="31"/>
      <c r="CZX38" s="31"/>
      <c r="CZY38" s="31"/>
      <c r="CZZ38" s="31"/>
      <c r="DAA38" s="31"/>
      <c r="DAB38" s="31"/>
      <c r="DAC38" s="31"/>
      <c r="DAD38" s="31"/>
      <c r="DAE38" s="31"/>
      <c r="DAF38" s="31"/>
      <c r="DAG38" s="31"/>
      <c r="DAH38" s="31"/>
      <c r="DAI38" s="31"/>
      <c r="DAJ38" s="31"/>
      <c r="DAK38" s="31"/>
      <c r="DAL38" s="31"/>
      <c r="DAM38" s="31"/>
      <c r="DAN38" s="31"/>
      <c r="DAO38" s="31"/>
      <c r="DAP38" s="31"/>
      <c r="DAQ38" s="31"/>
      <c r="DAR38" s="31"/>
      <c r="DAS38" s="31"/>
      <c r="DAT38" s="31"/>
      <c r="DAU38" s="31"/>
      <c r="DAV38" s="31"/>
      <c r="DAW38" s="31"/>
      <c r="DAX38" s="31"/>
      <c r="DAY38" s="31"/>
      <c r="DAZ38" s="31"/>
      <c r="DBA38" s="31"/>
      <c r="DBB38" s="31"/>
      <c r="DBC38" s="31"/>
      <c r="DBD38" s="31"/>
      <c r="DBE38" s="31"/>
      <c r="DBF38" s="31"/>
      <c r="DBG38" s="31"/>
      <c r="DBH38" s="31"/>
      <c r="DBI38" s="31"/>
      <c r="DBJ38" s="31"/>
      <c r="DBK38" s="31"/>
      <c r="DBL38" s="31"/>
      <c r="DBM38" s="31"/>
      <c r="DBN38" s="31"/>
      <c r="DBO38" s="31"/>
      <c r="DBP38" s="31"/>
      <c r="DBQ38" s="31"/>
      <c r="DBR38" s="31"/>
      <c r="DBS38" s="31"/>
      <c r="DBT38" s="31"/>
      <c r="DBU38" s="31"/>
      <c r="DBV38" s="31"/>
      <c r="DBW38" s="31"/>
      <c r="DBX38" s="31"/>
      <c r="DBY38" s="31"/>
      <c r="DBZ38" s="31"/>
      <c r="DCA38" s="31"/>
      <c r="DCB38" s="31"/>
      <c r="DCC38" s="31"/>
      <c r="DCD38" s="31"/>
      <c r="DCE38" s="31"/>
      <c r="DCF38" s="31"/>
      <c r="DCG38" s="31"/>
      <c r="DCH38" s="31"/>
      <c r="DCI38" s="31"/>
      <c r="DCJ38" s="31"/>
      <c r="DCK38" s="31"/>
      <c r="DCL38" s="31"/>
      <c r="DCM38" s="31"/>
      <c r="DCN38" s="31"/>
      <c r="DCO38" s="31"/>
      <c r="DCP38" s="31"/>
      <c r="DCQ38" s="31"/>
      <c r="DCR38" s="31"/>
      <c r="DCS38" s="31"/>
      <c r="DCT38" s="31"/>
      <c r="DCU38" s="31"/>
      <c r="DCV38" s="31"/>
      <c r="DCW38" s="31"/>
      <c r="DCX38" s="31"/>
      <c r="DCY38" s="31"/>
      <c r="DCZ38" s="31"/>
      <c r="DDA38" s="31"/>
      <c r="DDB38" s="31"/>
      <c r="DDC38" s="31"/>
      <c r="DDD38" s="31"/>
      <c r="DDE38" s="31"/>
      <c r="DDF38" s="31"/>
      <c r="DDG38" s="31"/>
      <c r="DDH38" s="31"/>
      <c r="DDI38" s="31"/>
      <c r="DDJ38" s="31"/>
      <c r="DDK38" s="31"/>
      <c r="DDL38" s="31"/>
      <c r="DDM38" s="31"/>
      <c r="DDN38" s="31"/>
      <c r="DDO38" s="31"/>
      <c r="DDP38" s="31"/>
      <c r="DDQ38" s="31"/>
      <c r="DDR38" s="31"/>
      <c r="DDS38" s="31"/>
      <c r="DDT38" s="31"/>
      <c r="DDU38" s="31"/>
      <c r="DDV38" s="31"/>
      <c r="DDW38" s="31"/>
      <c r="DDX38" s="31"/>
      <c r="DDY38" s="31"/>
      <c r="DDZ38" s="31"/>
      <c r="DEA38" s="31"/>
      <c r="DEB38" s="31"/>
      <c r="DEC38" s="31"/>
      <c r="DED38" s="31"/>
      <c r="DEE38" s="31"/>
      <c r="DEF38" s="31"/>
      <c r="DEG38" s="31"/>
      <c r="DEH38" s="31"/>
      <c r="DEI38" s="31"/>
      <c r="DEJ38" s="31"/>
      <c r="DEK38" s="31"/>
      <c r="DEL38" s="31"/>
      <c r="DEM38" s="31"/>
      <c r="DEN38" s="31"/>
      <c r="DEO38" s="31"/>
      <c r="DEP38" s="31"/>
      <c r="DEQ38" s="31"/>
      <c r="DER38" s="31"/>
      <c r="DES38" s="31"/>
      <c r="DET38" s="31"/>
      <c r="DEU38" s="31"/>
      <c r="DEV38" s="31"/>
      <c r="DEW38" s="31"/>
      <c r="DEX38" s="31"/>
      <c r="DEY38" s="31"/>
      <c r="DEZ38" s="31"/>
      <c r="DFA38" s="31"/>
      <c r="DFB38" s="31"/>
      <c r="DFC38" s="31"/>
      <c r="DFD38" s="31"/>
      <c r="DFE38" s="31"/>
      <c r="DFF38" s="31"/>
      <c r="DFG38" s="31"/>
      <c r="DFH38" s="31"/>
      <c r="DFI38" s="31"/>
      <c r="DFJ38" s="31"/>
      <c r="DFK38" s="31"/>
      <c r="DFL38" s="31"/>
      <c r="DFM38" s="31"/>
      <c r="DFN38" s="31"/>
      <c r="DFO38" s="31"/>
      <c r="DFP38" s="31"/>
      <c r="DFQ38" s="31"/>
      <c r="DFR38" s="31"/>
      <c r="DFS38" s="31"/>
      <c r="DFT38" s="31"/>
      <c r="DFU38" s="31"/>
      <c r="DFV38" s="31"/>
      <c r="DFW38" s="31"/>
      <c r="DFX38" s="31"/>
      <c r="DFY38" s="31"/>
      <c r="DFZ38" s="31"/>
      <c r="DGA38" s="31"/>
      <c r="DGB38" s="31"/>
      <c r="DGC38" s="31"/>
      <c r="DGD38" s="31"/>
      <c r="DGE38" s="31"/>
      <c r="DGF38" s="31"/>
      <c r="DGG38" s="31"/>
      <c r="DGH38" s="31"/>
      <c r="DGI38" s="31"/>
      <c r="DGJ38" s="31"/>
      <c r="DGK38" s="31"/>
      <c r="DGL38" s="31"/>
      <c r="DGM38" s="31"/>
      <c r="DGN38" s="31"/>
      <c r="DGO38" s="31"/>
      <c r="DGP38" s="31"/>
      <c r="DGQ38" s="31"/>
      <c r="DGR38" s="31"/>
      <c r="DGS38" s="31"/>
      <c r="DGT38" s="31"/>
      <c r="DGU38" s="31"/>
      <c r="DGV38" s="31"/>
      <c r="DGW38" s="31"/>
      <c r="DGX38" s="31"/>
      <c r="DGY38" s="31"/>
      <c r="DGZ38" s="31"/>
      <c r="DHA38" s="31"/>
      <c r="DHB38" s="31"/>
      <c r="DHC38" s="31"/>
      <c r="DHD38" s="31"/>
      <c r="DHE38" s="31"/>
      <c r="DHF38" s="31"/>
      <c r="DHG38" s="31"/>
      <c r="DHH38" s="31"/>
      <c r="DHI38" s="31"/>
      <c r="DHJ38" s="31"/>
      <c r="DHK38" s="31"/>
      <c r="DHL38" s="31"/>
      <c r="DHM38" s="31"/>
      <c r="DHN38" s="31"/>
      <c r="DHO38" s="31"/>
      <c r="DHP38" s="31"/>
      <c r="DHQ38" s="31"/>
      <c r="DHR38" s="31"/>
      <c r="DHS38" s="31"/>
      <c r="DHT38" s="31"/>
      <c r="DHU38" s="31"/>
      <c r="DHV38" s="31"/>
      <c r="DHW38" s="31"/>
      <c r="DHX38" s="31"/>
      <c r="DHY38" s="31"/>
      <c r="DHZ38" s="31"/>
      <c r="DIA38" s="31"/>
      <c r="DIB38" s="31"/>
      <c r="DIC38" s="31"/>
      <c r="DID38" s="31"/>
      <c r="DIE38" s="31"/>
      <c r="DIF38" s="31"/>
      <c r="DIG38" s="31"/>
      <c r="DIH38" s="31"/>
      <c r="DII38" s="31"/>
      <c r="DIJ38" s="31"/>
      <c r="DIK38" s="31"/>
      <c r="DIL38" s="31"/>
      <c r="DIM38" s="31"/>
      <c r="DIN38" s="31"/>
      <c r="DIO38" s="31"/>
      <c r="DIP38" s="31"/>
      <c r="DIQ38" s="31"/>
      <c r="DIR38" s="31"/>
      <c r="DIS38" s="31"/>
      <c r="DIT38" s="31"/>
      <c r="DIU38" s="31"/>
      <c r="DIV38" s="31"/>
      <c r="DIW38" s="31"/>
      <c r="DIX38" s="31"/>
      <c r="DIY38" s="31"/>
      <c r="DIZ38" s="31"/>
      <c r="DJA38" s="31"/>
      <c r="DJB38" s="31"/>
      <c r="DJC38" s="31"/>
      <c r="DJD38" s="31"/>
      <c r="DJE38" s="31"/>
      <c r="DJF38" s="31"/>
      <c r="DJG38" s="31"/>
      <c r="DJH38" s="31"/>
      <c r="DJI38" s="31"/>
      <c r="DJJ38" s="31"/>
      <c r="DJK38" s="31"/>
      <c r="DJL38" s="31"/>
      <c r="DJM38" s="31"/>
      <c r="DJN38" s="31"/>
      <c r="DJO38" s="31"/>
      <c r="DJP38" s="31"/>
      <c r="DJQ38" s="31"/>
      <c r="DJR38" s="31"/>
      <c r="DJS38" s="31"/>
      <c r="DJT38" s="31"/>
      <c r="DJU38" s="31"/>
      <c r="DJV38" s="31"/>
      <c r="DJW38" s="31"/>
      <c r="DJX38" s="31"/>
      <c r="DJY38" s="31"/>
      <c r="DJZ38" s="31"/>
      <c r="DKA38" s="31"/>
      <c r="DKB38" s="31"/>
      <c r="DKC38" s="31"/>
      <c r="DKD38" s="31"/>
      <c r="DKE38" s="31"/>
      <c r="DKF38" s="31"/>
      <c r="DKG38" s="31"/>
      <c r="DKH38" s="31"/>
      <c r="DKI38" s="31"/>
      <c r="DKJ38" s="31"/>
      <c r="DKK38" s="31"/>
      <c r="DKL38" s="31"/>
      <c r="DKM38" s="31"/>
      <c r="DKN38" s="31"/>
      <c r="DKO38" s="31"/>
      <c r="DKP38" s="31"/>
      <c r="DKQ38" s="31"/>
      <c r="DKR38" s="31"/>
      <c r="DKS38" s="31"/>
      <c r="DKT38" s="31"/>
      <c r="DKU38" s="31"/>
      <c r="DKV38" s="31"/>
      <c r="DKW38" s="31"/>
      <c r="DKX38" s="31"/>
      <c r="DKY38" s="31"/>
      <c r="DKZ38" s="31"/>
      <c r="DLA38" s="31"/>
      <c r="DLB38" s="31"/>
      <c r="DLC38" s="31"/>
      <c r="DLD38" s="31"/>
      <c r="DLE38" s="31"/>
      <c r="DLF38" s="31"/>
      <c r="DLG38" s="31"/>
      <c r="DLH38" s="31"/>
      <c r="DLI38" s="31"/>
      <c r="DLJ38" s="31"/>
      <c r="DLK38" s="31"/>
      <c r="DLL38" s="31"/>
      <c r="DLM38" s="31"/>
      <c r="DLN38" s="31"/>
      <c r="DLO38" s="31"/>
      <c r="DLP38" s="31"/>
      <c r="DLQ38" s="31"/>
      <c r="DLR38" s="31"/>
      <c r="DLS38" s="31"/>
      <c r="DLT38" s="31"/>
      <c r="DLU38" s="31"/>
      <c r="DLV38" s="31"/>
      <c r="DLW38" s="31"/>
      <c r="DLX38" s="31"/>
      <c r="DLY38" s="31"/>
      <c r="DLZ38" s="31"/>
      <c r="DMA38" s="31"/>
      <c r="DMB38" s="31"/>
      <c r="DMC38" s="31"/>
      <c r="DMD38" s="31"/>
      <c r="DME38" s="31"/>
      <c r="DMF38" s="31"/>
      <c r="DMG38" s="31"/>
      <c r="DMH38" s="31"/>
      <c r="DMI38" s="31"/>
      <c r="DMJ38" s="31"/>
      <c r="DMK38" s="31"/>
      <c r="DML38" s="31"/>
      <c r="DMM38" s="31"/>
      <c r="DMN38" s="31"/>
      <c r="DMO38" s="31"/>
      <c r="DMP38" s="31"/>
      <c r="DMQ38" s="31"/>
      <c r="DMR38" s="31"/>
      <c r="DMS38" s="31"/>
      <c r="DMT38" s="31"/>
      <c r="DMU38" s="31"/>
      <c r="DMV38" s="31"/>
      <c r="DMW38" s="31"/>
      <c r="DMX38" s="31"/>
      <c r="DMY38" s="31"/>
      <c r="DMZ38" s="31"/>
      <c r="DNA38" s="31"/>
      <c r="DNB38" s="31"/>
      <c r="DNC38" s="31"/>
      <c r="DND38" s="31"/>
      <c r="DNE38" s="31"/>
      <c r="DNF38" s="31"/>
      <c r="DNG38" s="31"/>
      <c r="DNH38" s="31"/>
      <c r="DNI38" s="31"/>
      <c r="DNJ38" s="31"/>
      <c r="DNK38" s="31"/>
      <c r="DNL38" s="31"/>
      <c r="DNM38" s="31"/>
      <c r="DNN38" s="31"/>
      <c r="DNO38" s="31"/>
      <c r="DNP38" s="31"/>
      <c r="DNQ38" s="31"/>
      <c r="DNR38" s="31"/>
      <c r="DNS38" s="31"/>
      <c r="DNT38" s="31"/>
      <c r="DNU38" s="31"/>
      <c r="DNV38" s="31"/>
      <c r="DNW38" s="31"/>
      <c r="DNX38" s="31"/>
      <c r="DNY38" s="31"/>
      <c r="DNZ38" s="31"/>
      <c r="DOA38" s="31"/>
      <c r="DOB38" s="31"/>
      <c r="DOC38" s="31"/>
      <c r="DOD38" s="31"/>
      <c r="DOE38" s="31"/>
      <c r="DOF38" s="31"/>
      <c r="DOG38" s="31"/>
      <c r="DOH38" s="31"/>
      <c r="DOI38" s="31"/>
      <c r="DOJ38" s="31"/>
      <c r="DOK38" s="31"/>
      <c r="DOL38" s="31"/>
      <c r="DOM38" s="31"/>
      <c r="DON38" s="31"/>
      <c r="DOO38" s="31"/>
      <c r="DOP38" s="31"/>
      <c r="DOQ38" s="31"/>
      <c r="DOR38" s="31"/>
      <c r="DOS38" s="31"/>
      <c r="DOT38" s="31"/>
      <c r="DOU38" s="31"/>
      <c r="DOV38" s="31"/>
      <c r="DOW38" s="31"/>
      <c r="DOX38" s="31"/>
      <c r="DOY38" s="31"/>
      <c r="DOZ38" s="31"/>
      <c r="DPA38" s="31"/>
      <c r="DPB38" s="31"/>
      <c r="DPC38" s="31"/>
      <c r="DPD38" s="31"/>
      <c r="DPE38" s="31"/>
      <c r="DPF38" s="31"/>
      <c r="DPG38" s="31"/>
      <c r="DPH38" s="31"/>
      <c r="DPI38" s="31"/>
      <c r="DPJ38" s="31"/>
      <c r="DPK38" s="31"/>
      <c r="DPL38" s="31"/>
      <c r="DPM38" s="31"/>
      <c r="DPN38" s="31"/>
      <c r="DPO38" s="31"/>
      <c r="DPP38" s="31"/>
      <c r="DPQ38" s="31"/>
      <c r="DPR38" s="31"/>
      <c r="DPS38" s="31"/>
      <c r="DPT38" s="31"/>
      <c r="DPU38" s="31"/>
      <c r="DPV38" s="31"/>
      <c r="DPW38" s="31"/>
      <c r="DPX38" s="31"/>
      <c r="DPY38" s="31"/>
      <c r="DPZ38" s="31"/>
      <c r="DQA38" s="31"/>
      <c r="DQB38" s="31"/>
      <c r="DQC38" s="31"/>
      <c r="DQD38" s="31"/>
      <c r="DQE38" s="31"/>
      <c r="DQF38" s="31"/>
      <c r="DQG38" s="31"/>
      <c r="DQH38" s="31"/>
      <c r="DQI38" s="31"/>
      <c r="DQJ38" s="31"/>
      <c r="DQK38" s="31"/>
      <c r="DQL38" s="31"/>
      <c r="DQM38" s="31"/>
      <c r="DQN38" s="31"/>
      <c r="DQO38" s="31"/>
      <c r="DQP38" s="31"/>
      <c r="DQQ38" s="31"/>
      <c r="DQR38" s="31"/>
      <c r="DQS38" s="31"/>
      <c r="DQT38" s="31"/>
      <c r="DQU38" s="31"/>
      <c r="DQV38" s="31"/>
      <c r="DQW38" s="31"/>
      <c r="DQX38" s="31"/>
      <c r="DQY38" s="31"/>
      <c r="DQZ38" s="31"/>
      <c r="DRA38" s="31"/>
      <c r="DRB38" s="31"/>
      <c r="DRC38" s="31"/>
      <c r="DRD38" s="31"/>
      <c r="DRE38" s="31"/>
      <c r="DRF38" s="31"/>
      <c r="DRG38" s="31"/>
      <c r="DRH38" s="31"/>
      <c r="DRI38" s="31"/>
      <c r="DRJ38" s="31"/>
      <c r="DRK38" s="31"/>
      <c r="DRL38" s="31"/>
      <c r="DRM38" s="31"/>
      <c r="DRN38" s="31"/>
      <c r="DRO38" s="31"/>
      <c r="DRP38" s="31"/>
      <c r="DRQ38" s="31"/>
      <c r="DRR38" s="31"/>
      <c r="DRS38" s="31"/>
      <c r="DRT38" s="31"/>
      <c r="DRU38" s="31"/>
      <c r="DRV38" s="31"/>
      <c r="DRW38" s="31"/>
      <c r="DRX38" s="31"/>
      <c r="DRY38" s="31"/>
      <c r="DRZ38" s="31"/>
      <c r="DSA38" s="31"/>
      <c r="DSB38" s="31"/>
      <c r="DSC38" s="31"/>
      <c r="DSD38" s="31"/>
      <c r="DSE38" s="31"/>
      <c r="DSF38" s="31"/>
      <c r="DSG38" s="31"/>
      <c r="DSH38" s="31"/>
      <c r="DSI38" s="31"/>
      <c r="DSJ38" s="31"/>
      <c r="DSK38" s="31"/>
      <c r="DSL38" s="31"/>
      <c r="DSM38" s="31"/>
      <c r="DSN38" s="31"/>
      <c r="DSO38" s="31"/>
      <c r="DSP38" s="31"/>
      <c r="DSQ38" s="31"/>
      <c r="DSR38" s="31"/>
      <c r="DSS38" s="31"/>
      <c r="DST38" s="31"/>
      <c r="DSU38" s="31"/>
      <c r="DSV38" s="31"/>
      <c r="DSW38" s="31"/>
      <c r="DSX38" s="31"/>
      <c r="DSY38" s="31"/>
      <c r="DSZ38" s="31"/>
      <c r="DTA38" s="31"/>
      <c r="DTB38" s="31"/>
      <c r="DTC38" s="31"/>
      <c r="DTD38" s="31"/>
      <c r="DTE38" s="31"/>
      <c r="DTF38" s="31"/>
      <c r="DTG38" s="31"/>
      <c r="DTH38" s="31"/>
      <c r="DTI38" s="31"/>
      <c r="DTJ38" s="31"/>
      <c r="DTK38" s="31"/>
      <c r="DTL38" s="31"/>
      <c r="DTM38" s="31"/>
      <c r="DTN38" s="31"/>
      <c r="DTO38" s="31"/>
      <c r="DTP38" s="31"/>
      <c r="DTQ38" s="31"/>
      <c r="DTR38" s="31"/>
      <c r="DTS38" s="31"/>
      <c r="DTT38" s="31"/>
      <c r="DTU38" s="31"/>
      <c r="DTV38" s="31"/>
      <c r="DTW38" s="31"/>
      <c r="DTX38" s="31"/>
      <c r="DTY38" s="31"/>
      <c r="DTZ38" s="31"/>
      <c r="DUA38" s="31"/>
      <c r="DUB38" s="31"/>
      <c r="DUC38" s="31"/>
      <c r="DUD38" s="31"/>
      <c r="DUE38" s="31"/>
      <c r="DUF38" s="31"/>
      <c r="DUG38" s="31"/>
      <c r="DUH38" s="31"/>
      <c r="DUI38" s="31"/>
      <c r="DUJ38" s="31"/>
      <c r="DUK38" s="31"/>
      <c r="DUL38" s="31"/>
      <c r="DUM38" s="31"/>
      <c r="DUN38" s="31"/>
      <c r="DUO38" s="31"/>
      <c r="DUP38" s="31"/>
      <c r="DUQ38" s="31"/>
      <c r="DUR38" s="31"/>
      <c r="DUS38" s="31"/>
      <c r="DUT38" s="31"/>
      <c r="DUU38" s="31"/>
      <c r="DUV38" s="31"/>
      <c r="DUW38" s="31"/>
      <c r="DUX38" s="31"/>
      <c r="DUY38" s="31"/>
      <c r="DUZ38" s="31"/>
      <c r="DVA38" s="31"/>
      <c r="DVB38" s="31"/>
      <c r="DVC38" s="31"/>
      <c r="DVD38" s="31"/>
      <c r="DVE38" s="31"/>
      <c r="DVF38" s="31"/>
      <c r="DVG38" s="31"/>
      <c r="DVH38" s="31"/>
      <c r="DVI38" s="31"/>
      <c r="DVJ38" s="31"/>
      <c r="DVK38" s="31"/>
      <c r="DVL38" s="31"/>
      <c r="DVM38" s="31"/>
      <c r="DVN38" s="31"/>
      <c r="DVO38" s="31"/>
      <c r="DVP38" s="31"/>
      <c r="DVQ38" s="31"/>
      <c r="DVR38" s="31"/>
      <c r="DVS38" s="31"/>
      <c r="DVT38" s="31"/>
      <c r="DVU38" s="31"/>
      <c r="DVV38" s="31"/>
      <c r="DVW38" s="31"/>
      <c r="DVX38" s="31"/>
      <c r="DVY38" s="31"/>
      <c r="DVZ38" s="31"/>
      <c r="DWA38" s="31"/>
      <c r="DWB38" s="31"/>
      <c r="DWC38" s="31"/>
      <c r="DWD38" s="31"/>
      <c r="DWE38" s="31"/>
      <c r="DWF38" s="31"/>
      <c r="DWG38" s="31"/>
      <c r="DWH38" s="31"/>
      <c r="DWI38" s="31"/>
      <c r="DWJ38" s="31"/>
      <c r="DWK38" s="31"/>
      <c r="DWL38" s="31"/>
      <c r="DWM38" s="31"/>
      <c r="DWN38" s="31"/>
      <c r="DWO38" s="31"/>
      <c r="DWP38" s="31"/>
      <c r="DWQ38" s="31"/>
      <c r="DWR38" s="31"/>
      <c r="DWS38" s="31"/>
      <c r="DWT38" s="31"/>
      <c r="DWU38" s="31"/>
      <c r="DWV38" s="31"/>
      <c r="DWW38" s="31"/>
      <c r="DWX38" s="31"/>
      <c r="DWY38" s="31"/>
      <c r="DWZ38" s="31"/>
      <c r="DXA38" s="31"/>
      <c r="DXB38" s="31"/>
      <c r="DXC38" s="31"/>
      <c r="DXD38" s="31"/>
      <c r="DXE38" s="31"/>
      <c r="DXF38" s="31"/>
      <c r="DXG38" s="31"/>
      <c r="DXH38" s="31"/>
      <c r="DXI38" s="31"/>
      <c r="DXJ38" s="31"/>
      <c r="DXK38" s="31"/>
      <c r="DXL38" s="31"/>
      <c r="DXM38" s="31"/>
      <c r="DXN38" s="31"/>
      <c r="DXO38" s="31"/>
      <c r="DXP38" s="31"/>
      <c r="DXQ38" s="31"/>
      <c r="DXR38" s="31"/>
      <c r="DXS38" s="31"/>
      <c r="DXT38" s="31"/>
      <c r="DXU38" s="31"/>
      <c r="DXV38" s="31"/>
      <c r="DXW38" s="31"/>
      <c r="DXX38" s="31"/>
      <c r="DXY38" s="31"/>
      <c r="DXZ38" s="31"/>
      <c r="DYA38" s="31"/>
      <c r="DYB38" s="31"/>
      <c r="DYC38" s="31"/>
      <c r="DYD38" s="31"/>
      <c r="DYE38" s="31"/>
      <c r="DYF38" s="31"/>
      <c r="DYG38" s="31"/>
      <c r="DYH38" s="31"/>
      <c r="DYI38" s="31"/>
      <c r="DYJ38" s="31"/>
      <c r="DYK38" s="31"/>
      <c r="DYL38" s="31"/>
      <c r="DYM38" s="31"/>
      <c r="DYN38" s="31"/>
      <c r="DYO38" s="31"/>
      <c r="DYP38" s="31"/>
      <c r="DYQ38" s="31"/>
      <c r="DYR38" s="31"/>
      <c r="DYS38" s="31"/>
      <c r="DYT38" s="31"/>
      <c r="DYU38" s="31"/>
      <c r="DYV38" s="31"/>
      <c r="DYW38" s="31"/>
      <c r="DYX38" s="31"/>
      <c r="DYY38" s="31"/>
      <c r="DYZ38" s="31"/>
      <c r="DZA38" s="31"/>
      <c r="DZB38" s="31"/>
      <c r="DZC38" s="31"/>
      <c r="DZD38" s="31"/>
      <c r="DZE38" s="31"/>
      <c r="DZF38" s="31"/>
      <c r="DZG38" s="31"/>
      <c r="DZH38" s="31"/>
      <c r="DZI38" s="31"/>
      <c r="DZJ38" s="31"/>
      <c r="DZK38" s="31"/>
      <c r="DZL38" s="31"/>
      <c r="DZM38" s="31"/>
      <c r="DZN38" s="31"/>
      <c r="DZO38" s="31"/>
      <c r="DZP38" s="31"/>
      <c r="DZQ38" s="31"/>
      <c r="DZR38" s="31"/>
      <c r="DZS38" s="31"/>
      <c r="DZT38" s="31"/>
      <c r="DZU38" s="31"/>
      <c r="DZV38" s="31"/>
      <c r="DZW38" s="31"/>
      <c r="DZX38" s="31"/>
      <c r="DZY38" s="31"/>
      <c r="DZZ38" s="31"/>
      <c r="EAA38" s="31"/>
      <c r="EAB38" s="31"/>
      <c r="EAC38" s="31"/>
      <c r="EAD38" s="31"/>
      <c r="EAE38" s="31"/>
      <c r="EAF38" s="31"/>
      <c r="EAG38" s="31"/>
      <c r="EAH38" s="31"/>
      <c r="EAI38" s="31"/>
      <c r="EAJ38" s="31"/>
      <c r="EAK38" s="31"/>
      <c r="EAL38" s="31"/>
      <c r="EAM38" s="31"/>
      <c r="EAN38" s="31"/>
      <c r="EAO38" s="31"/>
      <c r="EAP38" s="31"/>
      <c r="EAQ38" s="31"/>
      <c r="EAR38" s="31"/>
      <c r="EAS38" s="31"/>
      <c r="EAT38" s="31"/>
      <c r="EAU38" s="31"/>
      <c r="EAV38" s="31"/>
      <c r="EAW38" s="31"/>
      <c r="EAX38" s="31"/>
      <c r="EAY38" s="31"/>
      <c r="EAZ38" s="31"/>
      <c r="EBA38" s="31"/>
      <c r="EBB38" s="31"/>
      <c r="EBC38" s="31"/>
      <c r="EBD38" s="31"/>
      <c r="EBE38" s="31"/>
      <c r="EBF38" s="31"/>
      <c r="EBG38" s="31"/>
      <c r="EBH38" s="31"/>
      <c r="EBI38" s="31"/>
      <c r="EBJ38" s="31"/>
      <c r="EBK38" s="31"/>
      <c r="EBL38" s="31"/>
      <c r="EBM38" s="31"/>
      <c r="EBN38" s="31"/>
      <c r="EBO38" s="31"/>
      <c r="EBP38" s="31"/>
      <c r="EBQ38" s="31"/>
      <c r="EBR38" s="31"/>
      <c r="EBS38" s="31"/>
      <c r="EBT38" s="31"/>
      <c r="EBU38" s="31"/>
      <c r="EBV38" s="31"/>
      <c r="EBW38" s="31"/>
      <c r="EBX38" s="31"/>
      <c r="EBY38" s="31"/>
      <c r="EBZ38" s="31"/>
      <c r="ECA38" s="31"/>
      <c r="ECB38" s="31"/>
      <c r="ECC38" s="31"/>
      <c r="ECD38" s="31"/>
      <c r="ECE38" s="31"/>
      <c r="ECF38" s="31"/>
      <c r="ECG38" s="31"/>
      <c r="ECH38" s="31"/>
      <c r="ECI38" s="31"/>
      <c r="ECJ38" s="31"/>
      <c r="ECK38" s="31"/>
      <c r="ECL38" s="31"/>
      <c r="ECM38" s="31"/>
      <c r="ECN38" s="31"/>
      <c r="ECO38" s="31"/>
      <c r="ECP38" s="31"/>
      <c r="ECQ38" s="31"/>
      <c r="ECR38" s="31"/>
      <c r="ECS38" s="31"/>
      <c r="ECT38" s="31"/>
      <c r="ECU38" s="31"/>
      <c r="ECV38" s="31"/>
      <c r="ECW38" s="31"/>
      <c r="ECX38" s="31"/>
      <c r="ECY38" s="31"/>
      <c r="ECZ38" s="31"/>
      <c r="EDA38" s="31"/>
      <c r="EDB38" s="31"/>
      <c r="EDC38" s="31"/>
      <c r="EDD38" s="31"/>
      <c r="EDE38" s="31"/>
      <c r="EDF38" s="31"/>
      <c r="EDG38" s="31"/>
      <c r="EDH38" s="31"/>
      <c r="EDI38" s="31"/>
      <c r="EDJ38" s="31"/>
      <c r="EDK38" s="31"/>
      <c r="EDL38" s="31"/>
      <c r="EDM38" s="31"/>
      <c r="EDN38" s="31"/>
      <c r="EDO38" s="31"/>
      <c r="EDP38" s="31"/>
      <c r="EDQ38" s="31"/>
      <c r="EDR38" s="31"/>
      <c r="EDS38" s="31"/>
      <c r="EDT38" s="31"/>
      <c r="EDU38" s="31"/>
      <c r="EDV38" s="31"/>
      <c r="EDW38" s="31"/>
      <c r="EDX38" s="31"/>
      <c r="EDY38" s="31"/>
      <c r="EDZ38" s="31"/>
      <c r="EEA38" s="31"/>
      <c r="EEB38" s="31"/>
      <c r="EEC38" s="31"/>
      <c r="EED38" s="31"/>
      <c r="EEE38" s="31"/>
      <c r="EEF38" s="31"/>
      <c r="EEG38" s="31"/>
      <c r="EEH38" s="31"/>
      <c r="EEI38" s="31"/>
      <c r="EEJ38" s="31"/>
      <c r="EEK38" s="31"/>
      <c r="EEL38" s="31"/>
      <c r="EEM38" s="31"/>
      <c r="EEN38" s="31"/>
      <c r="EEO38" s="31"/>
      <c r="EEP38" s="31"/>
      <c r="EEQ38" s="31"/>
      <c r="EER38" s="31"/>
      <c r="EES38" s="31"/>
      <c r="EET38" s="31"/>
      <c r="EEU38" s="31"/>
      <c r="EEV38" s="31"/>
      <c r="EEW38" s="31"/>
      <c r="EEX38" s="31"/>
      <c r="EEY38" s="31"/>
      <c r="EEZ38" s="31"/>
      <c r="EFA38" s="31"/>
      <c r="EFB38" s="31"/>
      <c r="EFC38" s="31"/>
      <c r="EFD38" s="31"/>
      <c r="EFE38" s="31"/>
      <c r="EFF38" s="31"/>
      <c r="EFG38" s="31"/>
      <c r="EFH38" s="31"/>
      <c r="EFI38" s="31"/>
      <c r="EFJ38" s="31"/>
      <c r="EFK38" s="31"/>
      <c r="EFL38" s="31"/>
      <c r="EFM38" s="31"/>
      <c r="EFN38" s="31"/>
      <c r="EFO38" s="31"/>
      <c r="EFP38" s="31"/>
      <c r="EFQ38" s="31"/>
      <c r="EFR38" s="31"/>
      <c r="EFS38" s="31"/>
      <c r="EFT38" s="31"/>
      <c r="EFU38" s="31"/>
      <c r="EFV38" s="31"/>
      <c r="EFW38" s="31"/>
      <c r="EFX38" s="31"/>
      <c r="EFY38" s="31"/>
      <c r="EFZ38" s="31"/>
      <c r="EGA38" s="31"/>
      <c r="EGB38" s="31"/>
      <c r="EGC38" s="31"/>
      <c r="EGD38" s="31"/>
      <c r="EGE38" s="31"/>
      <c r="EGF38" s="31"/>
      <c r="EGG38" s="31"/>
      <c r="EGH38" s="31"/>
      <c r="EGI38" s="31"/>
      <c r="EGJ38" s="31"/>
      <c r="EGK38" s="31"/>
      <c r="EGL38" s="31"/>
      <c r="EGM38" s="31"/>
      <c r="EGN38" s="31"/>
      <c r="EGO38" s="31"/>
      <c r="EGP38" s="31"/>
      <c r="EGQ38" s="31"/>
      <c r="EGR38" s="31"/>
      <c r="EGS38" s="31"/>
      <c r="EGT38" s="31"/>
      <c r="EGU38" s="31"/>
      <c r="EGV38" s="31"/>
      <c r="EGW38" s="31"/>
      <c r="EGX38" s="31"/>
      <c r="EGY38" s="31"/>
      <c r="EGZ38" s="31"/>
      <c r="EHA38" s="31"/>
      <c r="EHB38" s="31"/>
      <c r="EHC38" s="31"/>
      <c r="EHD38" s="31"/>
      <c r="EHE38" s="31"/>
      <c r="EHF38" s="31"/>
      <c r="EHG38" s="31"/>
      <c r="EHH38" s="31"/>
      <c r="EHI38" s="31"/>
      <c r="EHJ38" s="31"/>
      <c r="EHK38" s="31"/>
      <c r="EHL38" s="31"/>
      <c r="EHM38" s="31"/>
      <c r="EHN38" s="31"/>
      <c r="EHO38" s="31"/>
      <c r="EHP38" s="31"/>
      <c r="EHQ38" s="31"/>
      <c r="EHR38" s="31"/>
      <c r="EHS38" s="31"/>
      <c r="EHT38" s="31"/>
      <c r="EHU38" s="31"/>
      <c r="EHV38" s="31"/>
      <c r="EHW38" s="31"/>
      <c r="EHX38" s="31"/>
      <c r="EHY38" s="31"/>
      <c r="EHZ38" s="31"/>
      <c r="EIA38" s="31"/>
      <c r="EIB38" s="31"/>
      <c r="EIC38" s="31"/>
      <c r="EID38" s="31"/>
      <c r="EIE38" s="31"/>
      <c r="EIF38" s="31"/>
      <c r="EIG38" s="31"/>
      <c r="EIH38" s="31"/>
      <c r="EII38" s="31"/>
      <c r="EIJ38" s="31"/>
      <c r="EIK38" s="31"/>
      <c r="EIL38" s="31"/>
      <c r="EIM38" s="31"/>
      <c r="EIN38" s="31"/>
      <c r="EIO38" s="31"/>
      <c r="EIP38" s="31"/>
      <c r="EIQ38" s="31"/>
      <c r="EIR38" s="31"/>
      <c r="EIS38" s="31"/>
      <c r="EIT38" s="31"/>
      <c r="EIU38" s="31"/>
      <c r="EIV38" s="31"/>
      <c r="EIW38" s="31"/>
      <c r="EIX38" s="31"/>
      <c r="EIY38" s="31"/>
      <c r="EIZ38" s="31"/>
      <c r="EJA38" s="31"/>
      <c r="EJB38" s="31"/>
      <c r="EJC38" s="31"/>
      <c r="EJD38" s="31"/>
      <c r="EJE38" s="31"/>
      <c r="EJF38" s="31"/>
      <c r="EJG38" s="31"/>
      <c r="EJH38" s="31"/>
      <c r="EJI38" s="31"/>
      <c r="EJJ38" s="31"/>
      <c r="EJK38" s="31"/>
      <c r="EJL38" s="31"/>
      <c r="EJM38" s="31"/>
      <c r="EJN38" s="31"/>
      <c r="EJO38" s="31"/>
      <c r="EJP38" s="31"/>
      <c r="EJQ38" s="31"/>
      <c r="EJR38" s="31"/>
      <c r="EJS38" s="31"/>
      <c r="EJT38" s="31"/>
      <c r="EJU38" s="31"/>
      <c r="EJV38" s="31"/>
      <c r="EJW38" s="31"/>
      <c r="EJX38" s="31"/>
      <c r="EJY38" s="31"/>
      <c r="EJZ38" s="31"/>
      <c r="EKA38" s="31"/>
      <c r="EKB38" s="31"/>
      <c r="EKC38" s="31"/>
      <c r="EKD38" s="31"/>
      <c r="EKE38" s="31"/>
      <c r="EKF38" s="31"/>
      <c r="EKG38" s="31"/>
      <c r="EKH38" s="31"/>
      <c r="EKI38" s="31"/>
      <c r="EKJ38" s="31"/>
      <c r="EKK38" s="31"/>
      <c r="EKL38" s="31"/>
      <c r="EKM38" s="31"/>
      <c r="EKN38" s="31"/>
      <c r="EKO38" s="31"/>
      <c r="EKP38" s="31"/>
      <c r="EKQ38" s="31"/>
      <c r="EKR38" s="31"/>
      <c r="EKS38" s="31"/>
      <c r="EKT38" s="31"/>
      <c r="EKU38" s="31"/>
      <c r="EKV38" s="31"/>
      <c r="EKW38" s="31"/>
      <c r="EKX38" s="31"/>
      <c r="EKY38" s="31"/>
      <c r="EKZ38" s="31"/>
      <c r="ELA38" s="31"/>
      <c r="ELB38" s="31"/>
      <c r="ELC38" s="31"/>
      <c r="ELD38" s="31"/>
      <c r="ELE38" s="31"/>
      <c r="ELF38" s="31"/>
      <c r="ELG38" s="31"/>
      <c r="ELH38" s="31"/>
      <c r="ELI38" s="31"/>
      <c r="ELJ38" s="31"/>
      <c r="ELK38" s="31"/>
      <c r="ELL38" s="31"/>
      <c r="ELM38" s="31"/>
      <c r="ELN38" s="31"/>
      <c r="ELO38" s="31"/>
      <c r="ELP38" s="31"/>
      <c r="ELQ38" s="31"/>
      <c r="ELR38" s="31"/>
      <c r="ELS38" s="31"/>
      <c r="ELT38" s="31"/>
      <c r="ELU38" s="31"/>
      <c r="ELV38" s="31"/>
      <c r="ELW38" s="31"/>
      <c r="ELX38" s="31"/>
      <c r="ELY38" s="31"/>
      <c r="ELZ38" s="31"/>
      <c r="EMA38" s="31"/>
      <c r="EMB38" s="31"/>
      <c r="EMC38" s="31"/>
      <c r="EMD38" s="31"/>
      <c r="EME38" s="31"/>
      <c r="EMF38" s="31"/>
      <c r="EMG38" s="31"/>
      <c r="EMH38" s="31"/>
      <c r="EMI38" s="31"/>
      <c r="EMJ38" s="31"/>
      <c r="EMK38" s="31"/>
      <c r="EML38" s="31"/>
      <c r="EMM38" s="31"/>
      <c r="EMN38" s="31"/>
      <c r="EMO38" s="31"/>
      <c r="EMP38" s="31"/>
      <c r="EMQ38" s="31"/>
      <c r="EMR38" s="31"/>
      <c r="EMS38" s="31"/>
      <c r="EMT38" s="31"/>
      <c r="EMU38" s="31"/>
      <c r="EMV38" s="31"/>
      <c r="EMW38" s="31"/>
      <c r="EMX38" s="31"/>
      <c r="EMY38" s="31"/>
      <c r="EMZ38" s="31"/>
      <c r="ENA38" s="31"/>
      <c r="ENB38" s="31"/>
      <c r="ENC38" s="31"/>
      <c r="END38" s="31"/>
      <c r="ENE38" s="31"/>
      <c r="ENF38" s="31"/>
      <c r="ENG38" s="31"/>
      <c r="ENH38" s="31"/>
      <c r="ENI38" s="31"/>
      <c r="ENJ38" s="31"/>
      <c r="ENK38" s="31"/>
      <c r="ENL38" s="31"/>
      <c r="ENM38" s="31"/>
      <c r="ENN38" s="31"/>
      <c r="ENO38" s="31"/>
      <c r="ENP38" s="31"/>
      <c r="ENQ38" s="31"/>
      <c r="ENR38" s="31"/>
      <c r="ENS38" s="31"/>
      <c r="ENT38" s="31"/>
      <c r="ENU38" s="31"/>
      <c r="ENV38" s="31"/>
      <c r="ENW38" s="31"/>
      <c r="ENX38" s="31"/>
      <c r="ENY38" s="31"/>
      <c r="ENZ38" s="31"/>
      <c r="EOA38" s="31"/>
      <c r="EOB38" s="31"/>
      <c r="EOC38" s="31"/>
      <c r="EOD38" s="31"/>
      <c r="EOE38" s="31"/>
      <c r="EOF38" s="31"/>
      <c r="EOG38" s="31"/>
      <c r="EOH38" s="31"/>
      <c r="EOI38" s="31"/>
      <c r="EOJ38" s="31"/>
      <c r="EOK38" s="31"/>
      <c r="EOL38" s="31"/>
      <c r="EOM38" s="31"/>
      <c r="EON38" s="31"/>
      <c r="EOO38" s="31"/>
      <c r="EOP38" s="31"/>
      <c r="EOQ38" s="31"/>
      <c r="EOR38" s="31"/>
      <c r="EOS38" s="31"/>
      <c r="EOT38" s="31"/>
      <c r="EOU38" s="31"/>
      <c r="EOV38" s="31"/>
      <c r="EOW38" s="31"/>
      <c r="EOX38" s="31"/>
      <c r="EOY38" s="31"/>
      <c r="EOZ38" s="31"/>
      <c r="EPA38" s="31"/>
      <c r="EPB38" s="31"/>
      <c r="EPC38" s="31"/>
      <c r="EPD38" s="31"/>
      <c r="EPE38" s="31"/>
      <c r="EPF38" s="31"/>
      <c r="EPG38" s="31"/>
      <c r="EPH38" s="31"/>
      <c r="EPI38" s="31"/>
      <c r="EPJ38" s="31"/>
      <c r="EPK38" s="31"/>
      <c r="EPL38" s="31"/>
      <c r="EPM38" s="31"/>
      <c r="EPN38" s="31"/>
      <c r="EPO38" s="31"/>
      <c r="EPP38" s="31"/>
      <c r="EPQ38" s="31"/>
      <c r="EPR38" s="31"/>
      <c r="EPS38" s="31"/>
      <c r="EPT38" s="31"/>
      <c r="EPU38" s="31"/>
      <c r="EPV38" s="31"/>
      <c r="EPW38" s="31"/>
      <c r="EPX38" s="31"/>
      <c r="EPY38" s="31"/>
      <c r="EPZ38" s="31"/>
      <c r="EQA38" s="31"/>
      <c r="EQB38" s="31"/>
      <c r="EQC38" s="31"/>
      <c r="EQD38" s="31"/>
      <c r="EQE38" s="31"/>
      <c r="EQF38" s="31"/>
      <c r="EQG38" s="31"/>
      <c r="EQH38" s="31"/>
      <c r="EQI38" s="31"/>
      <c r="EQJ38" s="31"/>
      <c r="EQK38" s="31"/>
      <c r="EQL38" s="31"/>
      <c r="EQM38" s="31"/>
      <c r="EQN38" s="31"/>
      <c r="EQO38" s="31"/>
      <c r="EQP38" s="31"/>
      <c r="EQQ38" s="31"/>
      <c r="EQR38" s="31"/>
      <c r="EQS38" s="31"/>
      <c r="EQT38" s="31"/>
      <c r="EQU38" s="31"/>
      <c r="EQV38" s="31"/>
      <c r="EQW38" s="31"/>
      <c r="EQX38" s="31"/>
      <c r="EQY38" s="31"/>
      <c r="EQZ38" s="31"/>
      <c r="ERA38" s="31"/>
      <c r="ERB38" s="31"/>
      <c r="ERC38" s="31"/>
      <c r="ERD38" s="31"/>
      <c r="ERE38" s="31"/>
      <c r="ERF38" s="31"/>
      <c r="ERG38" s="31"/>
      <c r="ERH38" s="31"/>
      <c r="ERI38" s="31"/>
      <c r="ERJ38" s="31"/>
      <c r="ERK38" s="31"/>
      <c r="ERL38" s="31"/>
      <c r="ERM38" s="31"/>
      <c r="ERN38" s="31"/>
      <c r="ERO38" s="31"/>
      <c r="ERP38" s="31"/>
      <c r="ERQ38" s="31"/>
      <c r="ERR38" s="31"/>
      <c r="ERS38" s="31"/>
      <c r="ERT38" s="31"/>
      <c r="ERU38" s="31"/>
      <c r="ERV38" s="31"/>
      <c r="ERW38" s="31"/>
      <c r="ERX38" s="31"/>
      <c r="ERY38" s="31"/>
      <c r="ERZ38" s="31"/>
      <c r="ESA38" s="31"/>
      <c r="ESB38" s="31"/>
      <c r="ESC38" s="31"/>
      <c r="ESD38" s="31"/>
      <c r="ESE38" s="31"/>
      <c r="ESF38" s="31"/>
      <c r="ESG38" s="31"/>
      <c r="ESH38" s="31"/>
      <c r="ESI38" s="31"/>
      <c r="ESJ38" s="31"/>
      <c r="ESK38" s="31"/>
      <c r="ESL38" s="31"/>
      <c r="ESM38" s="31"/>
      <c r="ESN38" s="31"/>
      <c r="ESO38" s="31"/>
      <c r="ESP38" s="31"/>
      <c r="ESQ38" s="31"/>
      <c r="ESR38" s="31"/>
      <c r="ESS38" s="31"/>
      <c r="EST38" s="31"/>
      <c r="ESU38" s="31"/>
      <c r="ESV38" s="31"/>
      <c r="ESW38" s="31"/>
      <c r="ESX38" s="31"/>
      <c r="ESY38" s="31"/>
      <c r="ESZ38" s="31"/>
      <c r="ETA38" s="31"/>
      <c r="ETB38" s="31"/>
      <c r="ETC38" s="31"/>
      <c r="ETD38" s="31"/>
      <c r="ETE38" s="31"/>
      <c r="ETF38" s="31"/>
      <c r="ETG38" s="31"/>
      <c r="ETH38" s="31"/>
      <c r="ETI38" s="31"/>
      <c r="ETJ38" s="31"/>
      <c r="ETK38" s="31"/>
      <c r="ETL38" s="31"/>
      <c r="ETM38" s="31"/>
      <c r="ETN38" s="31"/>
      <c r="ETO38" s="31"/>
      <c r="ETP38" s="31"/>
      <c r="ETQ38" s="31"/>
      <c r="ETR38" s="31"/>
      <c r="ETS38" s="31"/>
      <c r="ETT38" s="31"/>
      <c r="ETU38" s="31"/>
      <c r="ETV38" s="31"/>
      <c r="ETW38" s="31"/>
      <c r="ETX38" s="31"/>
      <c r="ETY38" s="31"/>
      <c r="ETZ38" s="31"/>
      <c r="EUA38" s="31"/>
      <c r="EUB38" s="31"/>
      <c r="EUC38" s="31"/>
      <c r="EUD38" s="31"/>
      <c r="EUE38" s="31"/>
      <c r="EUF38" s="31"/>
      <c r="EUG38" s="31"/>
      <c r="EUH38" s="31"/>
      <c r="EUI38" s="31"/>
      <c r="EUJ38" s="31"/>
      <c r="EUK38" s="31"/>
      <c r="EUL38" s="31"/>
      <c r="EUM38" s="31"/>
      <c r="EUN38" s="31"/>
      <c r="EUO38" s="31"/>
      <c r="EUP38" s="31"/>
      <c r="EUQ38" s="31"/>
      <c r="EUR38" s="31"/>
      <c r="EUS38" s="31"/>
      <c r="EUT38" s="31"/>
      <c r="EUU38" s="31"/>
      <c r="EUV38" s="31"/>
      <c r="EUW38" s="31"/>
      <c r="EUX38" s="31"/>
      <c r="EUY38" s="31"/>
      <c r="EUZ38" s="31"/>
      <c r="EVA38" s="31"/>
      <c r="EVB38" s="31"/>
      <c r="EVC38" s="31"/>
      <c r="EVD38" s="31"/>
      <c r="EVE38" s="31"/>
      <c r="EVF38" s="31"/>
      <c r="EVG38" s="31"/>
      <c r="EVH38" s="31"/>
      <c r="EVI38" s="31"/>
      <c r="EVJ38" s="31"/>
      <c r="EVK38" s="31"/>
      <c r="EVL38" s="31"/>
      <c r="EVM38" s="31"/>
      <c r="EVN38" s="31"/>
      <c r="EVO38" s="31"/>
      <c r="EVP38" s="31"/>
      <c r="EVQ38" s="31"/>
      <c r="EVR38" s="31"/>
      <c r="EVS38" s="31"/>
      <c r="EVT38" s="31"/>
      <c r="EVU38" s="31"/>
      <c r="EVV38" s="31"/>
      <c r="EVW38" s="31"/>
      <c r="EVX38" s="31"/>
      <c r="EVY38" s="31"/>
      <c r="EVZ38" s="31"/>
      <c r="EWA38" s="31"/>
      <c r="EWB38" s="31"/>
      <c r="EWC38" s="31"/>
      <c r="EWD38" s="31"/>
      <c r="EWE38" s="31"/>
      <c r="EWF38" s="31"/>
      <c r="EWG38" s="31"/>
      <c r="EWH38" s="31"/>
      <c r="EWI38" s="31"/>
      <c r="EWJ38" s="31"/>
      <c r="EWK38" s="31"/>
      <c r="EWL38" s="31"/>
      <c r="EWM38" s="31"/>
      <c r="EWN38" s="31"/>
      <c r="EWO38" s="31"/>
      <c r="EWP38" s="31"/>
      <c r="EWQ38" s="31"/>
      <c r="EWR38" s="31"/>
      <c r="EWS38" s="31"/>
      <c r="EWT38" s="31"/>
      <c r="EWU38" s="31"/>
      <c r="EWV38" s="31"/>
      <c r="EWW38" s="31"/>
      <c r="EWX38" s="31"/>
      <c r="EWY38" s="31"/>
      <c r="EWZ38" s="31"/>
      <c r="EXA38" s="31"/>
      <c r="EXB38" s="31"/>
      <c r="EXC38" s="31"/>
      <c r="EXD38" s="31"/>
      <c r="EXE38" s="31"/>
      <c r="EXF38" s="31"/>
      <c r="EXG38" s="31"/>
      <c r="EXH38" s="31"/>
      <c r="EXI38" s="31"/>
      <c r="EXJ38" s="31"/>
      <c r="EXK38" s="31"/>
      <c r="EXL38" s="31"/>
      <c r="EXM38" s="31"/>
      <c r="EXN38" s="31"/>
      <c r="EXO38" s="31"/>
      <c r="EXP38" s="31"/>
      <c r="EXQ38" s="31"/>
      <c r="EXR38" s="31"/>
      <c r="EXS38" s="31"/>
      <c r="EXT38" s="31"/>
      <c r="EXU38" s="31"/>
      <c r="EXV38" s="31"/>
      <c r="EXW38" s="31"/>
      <c r="EXX38" s="31"/>
      <c r="EXY38" s="31"/>
      <c r="EXZ38" s="31"/>
      <c r="EYA38" s="31"/>
      <c r="EYB38" s="31"/>
      <c r="EYC38" s="31"/>
      <c r="EYD38" s="31"/>
      <c r="EYE38" s="31"/>
      <c r="EYF38" s="31"/>
      <c r="EYG38" s="31"/>
      <c r="EYH38" s="31"/>
      <c r="EYI38" s="31"/>
      <c r="EYJ38" s="31"/>
      <c r="EYK38" s="31"/>
      <c r="EYL38" s="31"/>
      <c r="EYM38" s="31"/>
      <c r="EYN38" s="31"/>
      <c r="EYO38" s="31"/>
      <c r="EYP38" s="31"/>
      <c r="EYQ38" s="31"/>
      <c r="EYR38" s="31"/>
      <c r="EYS38" s="31"/>
      <c r="EYT38" s="31"/>
      <c r="EYU38" s="31"/>
      <c r="EYV38" s="31"/>
      <c r="EYW38" s="31"/>
      <c r="EYX38" s="31"/>
      <c r="EYY38" s="31"/>
      <c r="EYZ38" s="31"/>
      <c r="EZA38" s="31"/>
      <c r="EZB38" s="31"/>
      <c r="EZC38" s="31"/>
      <c r="EZD38" s="31"/>
      <c r="EZE38" s="31"/>
      <c r="EZF38" s="31"/>
      <c r="EZG38" s="31"/>
      <c r="EZH38" s="31"/>
      <c r="EZI38" s="31"/>
      <c r="EZJ38" s="31"/>
      <c r="EZK38" s="31"/>
      <c r="EZL38" s="31"/>
      <c r="EZM38" s="31"/>
      <c r="EZN38" s="31"/>
      <c r="EZO38" s="31"/>
      <c r="EZP38" s="31"/>
      <c r="EZQ38" s="31"/>
      <c r="EZR38" s="31"/>
      <c r="EZS38" s="31"/>
      <c r="EZT38" s="31"/>
      <c r="EZU38" s="31"/>
      <c r="EZV38" s="31"/>
      <c r="EZW38" s="31"/>
      <c r="EZX38" s="31"/>
      <c r="EZY38" s="31"/>
      <c r="EZZ38" s="31"/>
      <c r="FAA38" s="31"/>
      <c r="FAB38" s="31"/>
      <c r="FAC38" s="31"/>
      <c r="FAD38" s="31"/>
      <c r="FAE38" s="31"/>
      <c r="FAF38" s="31"/>
      <c r="FAG38" s="31"/>
      <c r="FAH38" s="31"/>
      <c r="FAI38" s="31"/>
      <c r="FAJ38" s="31"/>
      <c r="FAK38" s="31"/>
      <c r="FAL38" s="31"/>
      <c r="FAM38" s="31"/>
      <c r="FAN38" s="31"/>
      <c r="FAO38" s="31"/>
      <c r="FAP38" s="31"/>
      <c r="FAQ38" s="31"/>
      <c r="FAR38" s="31"/>
      <c r="FAS38" s="31"/>
      <c r="FAT38" s="31"/>
      <c r="FAU38" s="31"/>
      <c r="FAV38" s="31"/>
      <c r="FAW38" s="31"/>
      <c r="FAX38" s="31"/>
      <c r="FAY38" s="31"/>
      <c r="FAZ38" s="31"/>
      <c r="FBA38" s="31"/>
      <c r="FBB38" s="31"/>
      <c r="FBC38" s="31"/>
      <c r="FBD38" s="31"/>
      <c r="FBE38" s="31"/>
      <c r="FBF38" s="31"/>
      <c r="FBG38" s="31"/>
      <c r="FBH38" s="31"/>
      <c r="FBI38" s="31"/>
      <c r="FBJ38" s="31"/>
      <c r="FBK38" s="31"/>
      <c r="FBL38" s="31"/>
      <c r="FBM38" s="31"/>
      <c r="FBN38" s="31"/>
      <c r="FBO38" s="31"/>
      <c r="FBP38" s="31"/>
      <c r="FBQ38" s="31"/>
      <c r="FBR38" s="31"/>
      <c r="FBS38" s="31"/>
      <c r="FBT38" s="31"/>
      <c r="FBU38" s="31"/>
      <c r="FBV38" s="31"/>
      <c r="FBW38" s="31"/>
      <c r="FBX38" s="31"/>
      <c r="FBY38" s="31"/>
      <c r="FBZ38" s="31"/>
      <c r="FCA38" s="31"/>
      <c r="FCB38" s="31"/>
      <c r="FCC38" s="31"/>
      <c r="FCD38" s="31"/>
      <c r="FCE38" s="31"/>
      <c r="FCF38" s="31"/>
      <c r="FCG38" s="31"/>
      <c r="FCH38" s="31"/>
      <c r="FCI38" s="31"/>
      <c r="FCJ38" s="31"/>
      <c r="FCK38" s="31"/>
      <c r="FCL38" s="31"/>
      <c r="FCM38" s="31"/>
      <c r="FCN38" s="31"/>
      <c r="FCO38" s="31"/>
      <c r="FCP38" s="31"/>
      <c r="FCQ38" s="31"/>
      <c r="FCR38" s="31"/>
      <c r="FCS38" s="31"/>
      <c r="FCT38" s="31"/>
      <c r="FCU38" s="31"/>
      <c r="FCV38" s="31"/>
      <c r="FCW38" s="31"/>
      <c r="FCX38" s="31"/>
      <c r="FCY38" s="31"/>
      <c r="FCZ38" s="31"/>
      <c r="FDA38" s="31"/>
      <c r="FDB38" s="31"/>
      <c r="FDC38" s="31"/>
      <c r="FDD38" s="31"/>
      <c r="FDE38" s="31"/>
      <c r="FDF38" s="31"/>
      <c r="FDG38" s="31"/>
      <c r="FDH38" s="31"/>
      <c r="FDI38" s="31"/>
      <c r="FDJ38" s="31"/>
      <c r="FDK38" s="31"/>
      <c r="FDL38" s="31"/>
      <c r="FDM38" s="31"/>
      <c r="FDN38" s="31"/>
      <c r="FDO38" s="31"/>
      <c r="FDP38" s="31"/>
      <c r="FDQ38" s="31"/>
      <c r="FDR38" s="31"/>
      <c r="FDS38" s="31"/>
      <c r="FDT38" s="31"/>
      <c r="FDU38" s="31"/>
      <c r="FDV38" s="31"/>
      <c r="FDW38" s="31"/>
      <c r="FDX38" s="31"/>
      <c r="FDY38" s="31"/>
      <c r="FDZ38" s="31"/>
      <c r="FEA38" s="31"/>
      <c r="FEB38" s="31"/>
      <c r="FEC38" s="31"/>
      <c r="FED38" s="31"/>
      <c r="FEE38" s="31"/>
      <c r="FEF38" s="31"/>
      <c r="FEG38" s="31"/>
      <c r="FEH38" s="31"/>
      <c r="FEI38" s="31"/>
      <c r="FEJ38" s="31"/>
      <c r="FEK38" s="31"/>
      <c r="FEL38" s="31"/>
      <c r="FEM38" s="31"/>
      <c r="FEN38" s="31"/>
      <c r="FEO38" s="31"/>
      <c r="FEP38" s="31"/>
      <c r="FEQ38" s="31"/>
      <c r="FER38" s="31"/>
      <c r="FES38" s="31"/>
      <c r="FET38" s="31"/>
      <c r="FEU38" s="31"/>
      <c r="FEV38" s="31"/>
      <c r="FEW38" s="31"/>
      <c r="FEX38" s="31"/>
      <c r="FEY38" s="31"/>
      <c r="FEZ38" s="31"/>
      <c r="FFA38" s="31"/>
      <c r="FFB38" s="31"/>
      <c r="FFC38" s="31"/>
      <c r="FFD38" s="31"/>
      <c r="FFE38" s="31"/>
      <c r="FFF38" s="31"/>
      <c r="FFG38" s="31"/>
      <c r="FFH38" s="31"/>
      <c r="FFI38" s="31"/>
      <c r="FFJ38" s="31"/>
      <c r="FFK38" s="31"/>
      <c r="FFL38" s="31"/>
      <c r="FFM38" s="31"/>
      <c r="FFN38" s="31"/>
      <c r="FFO38" s="31"/>
      <c r="FFP38" s="31"/>
      <c r="FFQ38" s="31"/>
      <c r="FFR38" s="31"/>
      <c r="FFS38" s="31"/>
      <c r="FFT38" s="31"/>
      <c r="FFU38" s="31"/>
      <c r="FFV38" s="31"/>
      <c r="FFW38" s="31"/>
      <c r="FFX38" s="31"/>
      <c r="FFY38" s="31"/>
      <c r="FFZ38" s="31"/>
      <c r="FGA38" s="31"/>
      <c r="FGB38" s="31"/>
      <c r="FGC38" s="31"/>
      <c r="FGD38" s="31"/>
      <c r="FGE38" s="31"/>
      <c r="FGF38" s="31"/>
      <c r="FGG38" s="31"/>
      <c r="FGH38" s="31"/>
      <c r="FGI38" s="31"/>
      <c r="FGJ38" s="31"/>
      <c r="FGK38" s="31"/>
      <c r="FGL38" s="31"/>
      <c r="FGM38" s="31"/>
      <c r="FGN38" s="31"/>
      <c r="FGO38" s="31"/>
      <c r="FGP38" s="31"/>
      <c r="FGQ38" s="31"/>
      <c r="FGR38" s="31"/>
      <c r="FGS38" s="31"/>
      <c r="FGT38" s="31"/>
      <c r="FGU38" s="31"/>
      <c r="FGV38" s="31"/>
      <c r="FGW38" s="31"/>
      <c r="FGX38" s="31"/>
      <c r="FGY38" s="31"/>
      <c r="FGZ38" s="31"/>
      <c r="FHA38" s="31"/>
      <c r="FHB38" s="31"/>
      <c r="FHC38" s="31"/>
      <c r="FHD38" s="31"/>
      <c r="FHE38" s="31"/>
      <c r="FHF38" s="31"/>
      <c r="FHG38" s="31"/>
      <c r="FHH38" s="31"/>
      <c r="FHI38" s="31"/>
      <c r="FHJ38" s="31"/>
      <c r="FHK38" s="31"/>
      <c r="FHL38" s="31"/>
      <c r="FHM38" s="31"/>
      <c r="FHN38" s="31"/>
      <c r="FHO38" s="31"/>
      <c r="FHP38" s="31"/>
      <c r="FHQ38" s="31"/>
      <c r="FHR38" s="31"/>
      <c r="FHS38" s="31"/>
      <c r="FHT38" s="31"/>
      <c r="FHU38" s="31"/>
      <c r="FHV38" s="31"/>
      <c r="FHW38" s="31"/>
      <c r="FHX38" s="31"/>
      <c r="FHY38" s="31"/>
      <c r="FHZ38" s="31"/>
      <c r="FIA38" s="31"/>
      <c r="FIB38" s="31"/>
      <c r="FIC38" s="31"/>
      <c r="FID38" s="31"/>
      <c r="FIE38" s="31"/>
      <c r="FIF38" s="31"/>
      <c r="FIG38" s="31"/>
      <c r="FIH38" s="31"/>
      <c r="FII38" s="31"/>
      <c r="FIJ38" s="31"/>
      <c r="FIK38" s="31"/>
      <c r="FIL38" s="31"/>
      <c r="FIM38" s="31"/>
      <c r="FIN38" s="31"/>
      <c r="FIO38" s="31"/>
      <c r="FIP38" s="31"/>
      <c r="FIQ38" s="31"/>
      <c r="FIR38" s="31"/>
      <c r="FIS38" s="31"/>
      <c r="FIT38" s="31"/>
      <c r="FIU38" s="31"/>
      <c r="FIV38" s="31"/>
      <c r="FIW38" s="31"/>
      <c r="FIX38" s="31"/>
      <c r="FIY38" s="31"/>
      <c r="FIZ38" s="31"/>
      <c r="FJA38" s="31"/>
      <c r="FJB38" s="31"/>
      <c r="FJC38" s="31"/>
      <c r="FJD38" s="31"/>
      <c r="FJE38" s="31"/>
      <c r="FJF38" s="31"/>
      <c r="FJG38" s="31"/>
      <c r="FJH38" s="31"/>
      <c r="FJI38" s="31"/>
      <c r="FJJ38" s="31"/>
      <c r="FJK38" s="31"/>
      <c r="FJL38" s="31"/>
      <c r="FJM38" s="31"/>
      <c r="FJN38" s="31"/>
      <c r="FJO38" s="31"/>
      <c r="FJP38" s="31"/>
      <c r="FJQ38" s="31"/>
      <c r="FJR38" s="31"/>
      <c r="FJS38" s="31"/>
      <c r="FJT38" s="31"/>
      <c r="FJU38" s="31"/>
      <c r="FJV38" s="31"/>
      <c r="FJW38" s="31"/>
      <c r="FJX38" s="31"/>
      <c r="FJY38" s="31"/>
      <c r="FJZ38" s="31"/>
      <c r="FKA38" s="31"/>
      <c r="FKB38" s="31"/>
      <c r="FKC38" s="31"/>
      <c r="FKD38" s="31"/>
      <c r="FKE38" s="31"/>
      <c r="FKF38" s="31"/>
      <c r="FKG38" s="31"/>
      <c r="FKH38" s="31"/>
      <c r="FKI38" s="31"/>
      <c r="FKJ38" s="31"/>
      <c r="FKK38" s="31"/>
      <c r="FKL38" s="31"/>
      <c r="FKM38" s="31"/>
      <c r="FKN38" s="31"/>
      <c r="FKO38" s="31"/>
      <c r="FKP38" s="31"/>
      <c r="FKQ38" s="31"/>
      <c r="FKR38" s="31"/>
      <c r="FKS38" s="31"/>
      <c r="FKT38" s="31"/>
      <c r="FKU38" s="31"/>
      <c r="FKV38" s="31"/>
      <c r="FKW38" s="31"/>
      <c r="FKX38" s="31"/>
      <c r="FKY38" s="31"/>
      <c r="FKZ38" s="31"/>
      <c r="FLA38" s="31"/>
      <c r="FLB38" s="31"/>
      <c r="FLC38" s="31"/>
      <c r="FLD38" s="31"/>
      <c r="FLE38" s="31"/>
      <c r="FLF38" s="31"/>
      <c r="FLG38" s="31"/>
      <c r="FLH38" s="31"/>
      <c r="FLI38" s="31"/>
      <c r="FLJ38" s="31"/>
      <c r="FLK38" s="31"/>
      <c r="FLL38" s="31"/>
      <c r="FLM38" s="31"/>
      <c r="FLN38" s="31"/>
      <c r="FLO38" s="31"/>
      <c r="FLP38" s="31"/>
      <c r="FLQ38" s="31"/>
      <c r="FLR38" s="31"/>
      <c r="FLS38" s="31"/>
      <c r="FLT38" s="31"/>
      <c r="FLU38" s="31"/>
      <c r="FLV38" s="31"/>
      <c r="FLW38" s="31"/>
      <c r="FLX38" s="31"/>
      <c r="FLY38" s="31"/>
      <c r="FLZ38" s="31"/>
      <c r="FMA38" s="31"/>
      <c r="FMB38" s="31"/>
      <c r="FMC38" s="31"/>
      <c r="FMD38" s="31"/>
      <c r="FME38" s="31"/>
      <c r="FMF38" s="31"/>
      <c r="FMG38" s="31"/>
      <c r="FMH38" s="31"/>
      <c r="FMI38" s="31"/>
      <c r="FMJ38" s="31"/>
      <c r="FMK38" s="31"/>
      <c r="FML38" s="31"/>
      <c r="FMM38" s="31"/>
      <c r="FMN38" s="31"/>
      <c r="FMO38" s="31"/>
      <c r="FMP38" s="31"/>
      <c r="FMQ38" s="31"/>
      <c r="FMR38" s="31"/>
      <c r="FMS38" s="31"/>
      <c r="FMT38" s="31"/>
      <c r="FMU38" s="31"/>
      <c r="FMV38" s="31"/>
      <c r="FMW38" s="31"/>
      <c r="FMX38" s="31"/>
      <c r="FMY38" s="31"/>
      <c r="FMZ38" s="31"/>
      <c r="FNA38" s="31"/>
      <c r="FNB38" s="31"/>
      <c r="FNC38" s="31"/>
      <c r="FND38" s="31"/>
      <c r="FNE38" s="31"/>
      <c r="FNF38" s="31"/>
      <c r="FNG38" s="31"/>
      <c r="FNH38" s="31"/>
      <c r="FNI38" s="31"/>
      <c r="FNJ38" s="31"/>
      <c r="FNK38" s="31"/>
      <c r="FNL38" s="31"/>
      <c r="FNM38" s="31"/>
      <c r="FNN38" s="31"/>
      <c r="FNO38" s="31"/>
      <c r="FNP38" s="31"/>
      <c r="FNQ38" s="31"/>
      <c r="FNR38" s="31"/>
      <c r="FNS38" s="31"/>
      <c r="FNT38" s="31"/>
      <c r="FNU38" s="31"/>
      <c r="FNV38" s="31"/>
      <c r="FNW38" s="31"/>
      <c r="FNX38" s="31"/>
      <c r="FNY38" s="31"/>
      <c r="FNZ38" s="31"/>
      <c r="FOA38" s="31"/>
      <c r="FOB38" s="31"/>
      <c r="FOC38" s="31"/>
      <c r="FOD38" s="31"/>
      <c r="FOE38" s="31"/>
      <c r="FOF38" s="31"/>
      <c r="FOG38" s="31"/>
      <c r="FOH38" s="31"/>
      <c r="FOI38" s="31"/>
      <c r="FOJ38" s="31"/>
      <c r="FOK38" s="31"/>
      <c r="FOL38" s="31"/>
      <c r="FOM38" s="31"/>
      <c r="FON38" s="31"/>
      <c r="FOO38" s="31"/>
      <c r="FOP38" s="31"/>
      <c r="FOQ38" s="31"/>
      <c r="FOR38" s="31"/>
      <c r="FOS38" s="31"/>
      <c r="FOT38" s="31"/>
      <c r="FOU38" s="31"/>
      <c r="FOV38" s="31"/>
      <c r="FOW38" s="31"/>
      <c r="FOX38" s="31"/>
      <c r="FOY38" s="31"/>
      <c r="FOZ38" s="31"/>
      <c r="FPA38" s="31"/>
      <c r="FPB38" s="31"/>
      <c r="FPC38" s="31"/>
      <c r="FPD38" s="31"/>
      <c r="FPE38" s="31"/>
      <c r="FPF38" s="31"/>
      <c r="FPG38" s="31"/>
      <c r="FPH38" s="31"/>
      <c r="FPI38" s="31"/>
      <c r="FPJ38" s="31"/>
      <c r="FPK38" s="31"/>
      <c r="FPL38" s="31"/>
      <c r="FPM38" s="31"/>
      <c r="FPN38" s="31"/>
      <c r="FPO38" s="31"/>
      <c r="FPP38" s="31"/>
      <c r="FPQ38" s="31"/>
      <c r="FPR38" s="31"/>
      <c r="FPS38" s="31"/>
      <c r="FPT38" s="31"/>
      <c r="FPU38" s="31"/>
      <c r="FPV38" s="31"/>
      <c r="FPW38" s="31"/>
      <c r="FPX38" s="31"/>
      <c r="FPY38" s="31"/>
      <c r="FPZ38" s="31"/>
      <c r="FQA38" s="31"/>
      <c r="FQB38" s="31"/>
      <c r="FQC38" s="31"/>
      <c r="FQD38" s="31"/>
      <c r="FQE38" s="31"/>
      <c r="FQF38" s="31"/>
      <c r="FQG38" s="31"/>
      <c r="FQH38" s="31"/>
      <c r="FQI38" s="31"/>
      <c r="FQJ38" s="31"/>
      <c r="FQK38" s="31"/>
      <c r="FQL38" s="31"/>
      <c r="FQM38" s="31"/>
      <c r="FQN38" s="31"/>
      <c r="FQO38" s="31"/>
      <c r="FQP38" s="31"/>
      <c r="FQQ38" s="31"/>
      <c r="FQR38" s="31"/>
      <c r="FQS38" s="31"/>
      <c r="FQT38" s="31"/>
      <c r="FQU38" s="31"/>
      <c r="FQV38" s="31"/>
      <c r="FQW38" s="31"/>
      <c r="FQX38" s="31"/>
      <c r="FQY38" s="31"/>
      <c r="FQZ38" s="31"/>
      <c r="FRA38" s="31"/>
      <c r="FRB38" s="31"/>
      <c r="FRC38" s="31"/>
      <c r="FRD38" s="31"/>
      <c r="FRE38" s="31"/>
      <c r="FRF38" s="31"/>
      <c r="FRG38" s="31"/>
      <c r="FRH38" s="31"/>
      <c r="FRI38" s="31"/>
      <c r="FRJ38" s="31"/>
      <c r="FRK38" s="31"/>
      <c r="FRL38" s="31"/>
      <c r="FRM38" s="31"/>
      <c r="FRN38" s="31"/>
      <c r="FRO38" s="31"/>
      <c r="FRP38" s="31"/>
      <c r="FRQ38" s="31"/>
      <c r="FRR38" s="31"/>
      <c r="FRS38" s="31"/>
      <c r="FRT38" s="31"/>
      <c r="FRU38" s="31"/>
      <c r="FRV38" s="31"/>
      <c r="FRW38" s="31"/>
      <c r="FRX38" s="31"/>
      <c r="FRY38" s="31"/>
      <c r="FRZ38" s="31"/>
      <c r="FSA38" s="31"/>
      <c r="FSB38" s="31"/>
      <c r="FSC38" s="31"/>
      <c r="FSD38" s="31"/>
      <c r="FSE38" s="31"/>
      <c r="FSF38" s="31"/>
      <c r="FSG38" s="31"/>
      <c r="FSH38" s="31"/>
      <c r="FSI38" s="31"/>
      <c r="FSJ38" s="31"/>
      <c r="FSK38" s="31"/>
      <c r="FSL38" s="31"/>
      <c r="FSM38" s="31"/>
      <c r="FSN38" s="31"/>
      <c r="FSO38" s="31"/>
      <c r="FSP38" s="31"/>
      <c r="FSQ38" s="31"/>
      <c r="FSR38" s="31"/>
      <c r="FSS38" s="31"/>
      <c r="FST38" s="31"/>
      <c r="FSU38" s="31"/>
      <c r="FSV38" s="31"/>
      <c r="FSW38" s="31"/>
      <c r="FSX38" s="31"/>
      <c r="FSY38" s="31"/>
    </row>
    <row r="39" spans="1:4575" x14ac:dyDescent="0.3">
      <c r="A39" s="327" t="s">
        <v>149</v>
      </c>
      <c r="B39" s="51" t="s">
        <v>166</v>
      </c>
      <c r="C39" s="51" t="s">
        <v>162</v>
      </c>
      <c r="D39" s="383">
        <v>16340</v>
      </c>
      <c r="E39" s="19">
        <v>1</v>
      </c>
      <c r="F39" s="8" t="s">
        <v>16</v>
      </c>
      <c r="G39" s="8" t="s">
        <v>34</v>
      </c>
      <c r="H39" s="33">
        <v>2010</v>
      </c>
      <c r="I39" s="206">
        <v>225612.52740823478</v>
      </c>
      <c r="J39" s="104">
        <v>231263.29</v>
      </c>
      <c r="K39" s="62">
        <f>I39-J39</f>
        <v>-5650.7625917652331</v>
      </c>
      <c r="L39" s="82">
        <f t="shared" ref="L39:L54" si="21">J39*20%</f>
        <v>46252.658000000003</v>
      </c>
      <c r="M39" s="83">
        <v>0</v>
      </c>
      <c r="N39" s="82">
        <v>0</v>
      </c>
      <c r="O39" s="82"/>
      <c r="P39" s="82"/>
      <c r="Q39" s="82"/>
      <c r="R39" s="82"/>
      <c r="S39" s="82"/>
      <c r="T39" s="82">
        <v>0</v>
      </c>
      <c r="U39" s="84">
        <f>SUM(M39:T39)</f>
        <v>0</v>
      </c>
      <c r="V39" s="85">
        <f>L39+U39</f>
        <v>46252.658000000003</v>
      </c>
      <c r="W39" s="86">
        <f>I39-V39</f>
        <v>179359.86940823478</v>
      </c>
      <c r="X39" s="328">
        <f>K39-W39</f>
        <v>-185010.63200000001</v>
      </c>
    </row>
    <row r="40" spans="1:4575" x14ac:dyDescent="0.3">
      <c r="A40" s="327" t="s">
        <v>149</v>
      </c>
      <c r="B40" s="51" t="s">
        <v>166</v>
      </c>
      <c r="C40" s="51" t="s">
        <v>162</v>
      </c>
      <c r="D40" s="383">
        <v>16340</v>
      </c>
      <c r="E40" s="6">
        <v>2</v>
      </c>
      <c r="F40" s="9" t="s">
        <v>16</v>
      </c>
      <c r="G40" s="9" t="s">
        <v>35</v>
      </c>
      <c r="H40" s="23">
        <v>570</v>
      </c>
      <c r="I40" s="46">
        <v>4074815.4680292024</v>
      </c>
      <c r="J40" s="105">
        <v>4023612.21</v>
      </c>
      <c r="K40" s="62">
        <f t="shared" ref="K40:K48" si="22">I40-J40</f>
        <v>51203.258029202465</v>
      </c>
      <c r="L40" s="81">
        <f t="shared" si="21"/>
        <v>804722.44200000004</v>
      </c>
      <c r="M40" s="81"/>
      <c r="N40" s="81"/>
      <c r="O40" s="81"/>
      <c r="P40" s="81"/>
      <c r="Q40" s="81"/>
      <c r="R40" s="81"/>
      <c r="S40" s="81"/>
      <c r="T40" s="81"/>
      <c r="U40" s="79">
        <f t="shared" ref="U40:U111" si="23">SUM(M40:T40)</f>
        <v>0</v>
      </c>
      <c r="V40" s="80">
        <f t="shared" ref="V40:V111" si="24">L40+U40</f>
        <v>804722.44200000004</v>
      </c>
      <c r="W40" s="94">
        <f t="shared" ref="W40:W54" si="25">I40-V40</f>
        <v>3270093.0260292022</v>
      </c>
      <c r="X40" s="328">
        <f t="shared" ref="X40:X48" si="26">K40-W40</f>
        <v>-3218889.7679999997</v>
      </c>
    </row>
    <row r="41" spans="1:4575" x14ac:dyDescent="0.3">
      <c r="A41" s="327" t="s">
        <v>149</v>
      </c>
      <c r="B41" s="51" t="s">
        <v>166</v>
      </c>
      <c r="C41" s="51" t="s">
        <v>162</v>
      </c>
      <c r="D41" s="383">
        <v>16340</v>
      </c>
      <c r="E41" s="6">
        <v>3</v>
      </c>
      <c r="F41" s="9" t="s">
        <v>16</v>
      </c>
      <c r="G41" s="10" t="s">
        <v>36</v>
      </c>
      <c r="H41" s="23">
        <v>36</v>
      </c>
      <c r="I41" s="46">
        <v>511793.93667326478</v>
      </c>
      <c r="J41" s="105">
        <v>523486.66</v>
      </c>
      <c r="K41" s="62">
        <f t="shared" si="22"/>
        <v>-11692.723326735198</v>
      </c>
      <c r="L41" s="81">
        <f t="shared" si="21"/>
        <v>104697.33199999999</v>
      </c>
      <c r="M41" s="81"/>
      <c r="N41" s="81"/>
      <c r="O41" s="81"/>
      <c r="P41" s="81"/>
      <c r="Q41" s="81"/>
      <c r="R41" s="81"/>
      <c r="S41" s="81"/>
      <c r="T41" s="81"/>
      <c r="U41" s="79">
        <f t="shared" si="23"/>
        <v>0</v>
      </c>
      <c r="V41" s="80">
        <f t="shared" si="24"/>
        <v>104697.33199999999</v>
      </c>
      <c r="W41" s="94">
        <f t="shared" si="25"/>
        <v>407096.60467326478</v>
      </c>
      <c r="X41" s="328">
        <f t="shared" si="26"/>
        <v>-418789.32799999998</v>
      </c>
    </row>
    <row r="42" spans="1:4575" x14ac:dyDescent="0.3">
      <c r="A42" s="327" t="s">
        <v>149</v>
      </c>
      <c r="B42" s="51" t="s">
        <v>166</v>
      </c>
      <c r="C42" s="51" t="s">
        <v>162</v>
      </c>
      <c r="D42" s="383">
        <v>16340</v>
      </c>
      <c r="E42" s="6">
        <v>4</v>
      </c>
      <c r="F42" s="9" t="s">
        <v>16</v>
      </c>
      <c r="G42" s="9" t="s">
        <v>37</v>
      </c>
      <c r="H42" s="23">
        <v>141</v>
      </c>
      <c r="I42" s="46">
        <v>2438230.125270857</v>
      </c>
      <c r="J42" s="105">
        <v>2292599.09</v>
      </c>
      <c r="K42" s="62">
        <f t="shared" si="22"/>
        <v>145631.03527085716</v>
      </c>
      <c r="L42" s="81">
        <f t="shared" si="21"/>
        <v>458519.81799999997</v>
      </c>
      <c r="M42" s="81"/>
      <c r="N42" s="81"/>
      <c r="O42" s="81"/>
      <c r="P42" s="81"/>
      <c r="Q42" s="81"/>
      <c r="R42" s="81"/>
      <c r="S42" s="81"/>
      <c r="T42" s="81"/>
      <c r="U42" s="79">
        <f t="shared" si="23"/>
        <v>0</v>
      </c>
      <c r="V42" s="80">
        <f t="shared" si="24"/>
        <v>458519.81799999997</v>
      </c>
      <c r="W42" s="94">
        <f t="shared" si="25"/>
        <v>1979710.307270857</v>
      </c>
      <c r="X42" s="328">
        <f t="shared" si="26"/>
        <v>-1834079.2719999999</v>
      </c>
    </row>
    <row r="43" spans="1:4575" x14ac:dyDescent="0.3">
      <c r="A43" s="327" t="s">
        <v>149</v>
      </c>
      <c r="B43" s="51" t="s">
        <v>166</v>
      </c>
      <c r="C43" s="51" t="s">
        <v>162</v>
      </c>
      <c r="D43" s="383">
        <v>16340</v>
      </c>
      <c r="E43" s="6">
        <v>5</v>
      </c>
      <c r="F43" s="9" t="s">
        <v>16</v>
      </c>
      <c r="G43" s="9" t="s">
        <v>38</v>
      </c>
      <c r="H43" s="23">
        <v>30</v>
      </c>
      <c r="I43" s="46">
        <v>388955.64060050389</v>
      </c>
      <c r="J43" s="105">
        <v>404519.67</v>
      </c>
      <c r="K43" s="62">
        <f t="shared" si="22"/>
        <v>-15564.029399496096</v>
      </c>
      <c r="L43" s="81">
        <f t="shared" si="21"/>
        <v>80903.934000000008</v>
      </c>
      <c r="M43" s="81"/>
      <c r="N43" s="81"/>
      <c r="O43" s="81"/>
      <c r="P43" s="81"/>
      <c r="Q43" s="81"/>
      <c r="R43" s="81"/>
      <c r="S43" s="81"/>
      <c r="T43" s="81"/>
      <c r="U43" s="79">
        <f t="shared" si="23"/>
        <v>0</v>
      </c>
      <c r="V43" s="80">
        <f t="shared" si="24"/>
        <v>80903.934000000008</v>
      </c>
      <c r="W43" s="94">
        <f t="shared" si="25"/>
        <v>308051.70660050388</v>
      </c>
      <c r="X43" s="328">
        <f t="shared" si="26"/>
        <v>-323615.73599999998</v>
      </c>
    </row>
    <row r="44" spans="1:4575" x14ac:dyDescent="0.3">
      <c r="A44" s="327" t="s">
        <v>149</v>
      </c>
      <c r="B44" s="51" t="s">
        <v>166</v>
      </c>
      <c r="C44" s="51" t="s">
        <v>162</v>
      </c>
      <c r="D44" s="383">
        <v>16340</v>
      </c>
      <c r="E44" s="6">
        <v>6</v>
      </c>
      <c r="F44" s="9" t="s">
        <v>16</v>
      </c>
      <c r="G44" s="9" t="s">
        <v>39</v>
      </c>
      <c r="H44" s="23">
        <v>30</v>
      </c>
      <c r="I44" s="46">
        <v>342061.56774935964</v>
      </c>
      <c r="J44" s="105">
        <v>360198.56</v>
      </c>
      <c r="K44" s="62">
        <f t="shared" si="22"/>
        <v>-18136.992250640353</v>
      </c>
      <c r="L44" s="81">
        <f t="shared" si="21"/>
        <v>72039.712</v>
      </c>
      <c r="M44" s="81"/>
      <c r="N44" s="81"/>
      <c r="O44" s="81"/>
      <c r="P44" s="81"/>
      <c r="Q44" s="81"/>
      <c r="R44" s="81"/>
      <c r="S44" s="81"/>
      <c r="T44" s="81"/>
      <c r="U44" s="79">
        <f t="shared" si="23"/>
        <v>0</v>
      </c>
      <c r="V44" s="80">
        <f t="shared" si="24"/>
        <v>72039.712</v>
      </c>
      <c r="W44" s="94">
        <f t="shared" si="25"/>
        <v>270021.85574935965</v>
      </c>
      <c r="X44" s="328">
        <f t="shared" si="26"/>
        <v>-288158.848</v>
      </c>
    </row>
    <row r="45" spans="1:4575" x14ac:dyDescent="0.3">
      <c r="A45" s="327" t="s">
        <v>149</v>
      </c>
      <c r="B45" s="51" t="s">
        <v>166</v>
      </c>
      <c r="C45" s="51" t="s">
        <v>162</v>
      </c>
      <c r="D45" s="383">
        <v>16340</v>
      </c>
      <c r="E45" s="6">
        <v>7</v>
      </c>
      <c r="F45" s="9" t="s">
        <v>16</v>
      </c>
      <c r="G45" s="9" t="s">
        <v>40</v>
      </c>
      <c r="H45" s="23">
        <v>45</v>
      </c>
      <c r="I45" s="46">
        <v>443175.57263818232</v>
      </c>
      <c r="J45" s="105">
        <v>453564.99</v>
      </c>
      <c r="K45" s="62">
        <f t="shared" si="22"/>
        <v>-10389.417361817672</v>
      </c>
      <c r="L45" s="81">
        <f t="shared" si="21"/>
        <v>90712.998000000007</v>
      </c>
      <c r="M45" s="81"/>
      <c r="N45" s="81"/>
      <c r="O45" s="81"/>
      <c r="P45" s="81"/>
      <c r="Q45" s="81"/>
      <c r="R45" s="81"/>
      <c r="S45" s="81"/>
      <c r="T45" s="81"/>
      <c r="U45" s="79">
        <f t="shared" si="23"/>
        <v>0</v>
      </c>
      <c r="V45" s="80">
        <f t="shared" si="24"/>
        <v>90712.998000000007</v>
      </c>
      <c r="W45" s="94">
        <f t="shared" si="25"/>
        <v>352462.5746381823</v>
      </c>
      <c r="X45" s="328">
        <f t="shared" si="26"/>
        <v>-362851.99199999997</v>
      </c>
    </row>
    <row r="46" spans="1:4575" x14ac:dyDescent="0.3">
      <c r="A46" s="327" t="s">
        <v>149</v>
      </c>
      <c r="B46" s="51" t="s">
        <v>166</v>
      </c>
      <c r="C46" s="51" t="s">
        <v>162</v>
      </c>
      <c r="D46" s="383">
        <v>16340</v>
      </c>
      <c r="E46" s="6">
        <v>8</v>
      </c>
      <c r="F46" s="9" t="s">
        <v>16</v>
      </c>
      <c r="G46" s="10" t="s">
        <v>41</v>
      </c>
      <c r="H46" s="23">
        <v>60</v>
      </c>
      <c r="I46" s="46">
        <v>699425.0025822859</v>
      </c>
      <c r="J46" s="105">
        <v>717370.34</v>
      </c>
      <c r="K46" s="62">
        <f t="shared" si="22"/>
        <v>-17945.337417714065</v>
      </c>
      <c r="L46" s="81">
        <f t="shared" si="21"/>
        <v>143474.068</v>
      </c>
      <c r="M46" s="81"/>
      <c r="N46" s="81"/>
      <c r="O46" s="81"/>
      <c r="P46" s="81"/>
      <c r="Q46" s="81"/>
      <c r="R46" s="81"/>
      <c r="S46" s="81"/>
      <c r="T46" s="81"/>
      <c r="U46" s="79">
        <f t="shared" si="23"/>
        <v>0</v>
      </c>
      <c r="V46" s="80">
        <f t="shared" si="24"/>
        <v>143474.068</v>
      </c>
      <c r="W46" s="94">
        <f t="shared" si="25"/>
        <v>555950.93458228593</v>
      </c>
      <c r="X46" s="328">
        <f t="shared" si="26"/>
        <v>-573896.272</v>
      </c>
    </row>
    <row r="47" spans="1:4575" x14ac:dyDescent="0.3">
      <c r="A47" s="327" t="s">
        <v>149</v>
      </c>
      <c r="B47" s="51" t="s">
        <v>166</v>
      </c>
      <c r="C47" s="51" t="s">
        <v>162</v>
      </c>
      <c r="D47" s="383">
        <v>16340</v>
      </c>
      <c r="E47" s="6">
        <v>9</v>
      </c>
      <c r="F47" s="9" t="s">
        <v>16</v>
      </c>
      <c r="G47" s="10" t="s">
        <v>42</v>
      </c>
      <c r="H47" s="23">
        <v>45</v>
      </c>
      <c r="I47" s="46">
        <v>167892.06160215902</v>
      </c>
      <c r="J47" s="105">
        <v>180968.24</v>
      </c>
      <c r="K47" s="62">
        <f t="shared" si="22"/>
        <v>-13076.178397840966</v>
      </c>
      <c r="L47" s="81">
        <f t="shared" si="21"/>
        <v>36193.648000000001</v>
      </c>
      <c r="M47" s="81"/>
      <c r="N47" s="81"/>
      <c r="O47" s="81"/>
      <c r="P47" s="81"/>
      <c r="Q47" s="81"/>
      <c r="R47" s="81"/>
      <c r="S47" s="81"/>
      <c r="T47" s="81"/>
      <c r="U47" s="79">
        <f t="shared" si="23"/>
        <v>0</v>
      </c>
      <c r="V47" s="80">
        <f t="shared" si="24"/>
        <v>36193.648000000001</v>
      </c>
      <c r="W47" s="94">
        <f t="shared" si="25"/>
        <v>131698.41360215901</v>
      </c>
      <c r="X47" s="328">
        <f t="shared" si="26"/>
        <v>-144774.59199999998</v>
      </c>
    </row>
    <row r="48" spans="1:4575" x14ac:dyDescent="0.3">
      <c r="A48" s="327" t="s">
        <v>149</v>
      </c>
      <c r="B48" s="51" t="s">
        <v>166</v>
      </c>
      <c r="C48" s="51" t="s">
        <v>162</v>
      </c>
      <c r="D48" s="383">
        <v>16340</v>
      </c>
      <c r="E48" s="6">
        <v>10</v>
      </c>
      <c r="F48" s="9" t="s">
        <v>16</v>
      </c>
      <c r="G48" s="10" t="s">
        <v>43</v>
      </c>
      <c r="H48" s="23">
        <v>147</v>
      </c>
      <c r="I48" s="46">
        <v>2478584.5621000337</v>
      </c>
      <c r="J48" s="105">
        <v>2414870.65</v>
      </c>
      <c r="K48" s="62">
        <f t="shared" si="22"/>
        <v>63713.912100033835</v>
      </c>
      <c r="L48" s="81">
        <f t="shared" si="21"/>
        <v>482974.13</v>
      </c>
      <c r="M48" s="81"/>
      <c r="N48" s="81"/>
      <c r="O48" s="81"/>
      <c r="P48" s="81"/>
      <c r="Q48" s="81"/>
      <c r="R48" s="81"/>
      <c r="S48" s="81"/>
      <c r="T48" s="81"/>
      <c r="U48" s="79">
        <f t="shared" si="23"/>
        <v>0</v>
      </c>
      <c r="V48" s="80">
        <f t="shared" si="24"/>
        <v>482974.13</v>
      </c>
      <c r="W48" s="94">
        <f t="shared" si="25"/>
        <v>1995610.4321000339</v>
      </c>
      <c r="X48" s="328">
        <f t="shared" si="26"/>
        <v>-1931896.52</v>
      </c>
    </row>
    <row r="49" spans="1:4575" s="31" customFormat="1" x14ac:dyDescent="0.3">
      <c r="A49" s="329" t="s">
        <v>151</v>
      </c>
      <c r="B49" s="329"/>
      <c r="C49" s="67"/>
      <c r="D49" s="390"/>
      <c r="E49" s="68"/>
      <c r="F49" s="69"/>
      <c r="G49" s="70"/>
      <c r="H49" s="71">
        <f>SUM(H39:H48)</f>
        <v>3114</v>
      </c>
      <c r="I49" s="199">
        <f t="shared" ref="I49:X49" si="27">SUM(I39:I48)</f>
        <v>11770546.464654084</v>
      </c>
      <c r="J49" s="199">
        <f t="shared" si="27"/>
        <v>11602453.700000001</v>
      </c>
      <c r="K49" s="199">
        <f t="shared" si="27"/>
        <v>168092.76465408388</v>
      </c>
      <c r="L49" s="199">
        <f t="shared" si="27"/>
        <v>2320490.7399999998</v>
      </c>
      <c r="M49" s="199">
        <f t="shared" si="27"/>
        <v>0</v>
      </c>
      <c r="N49" s="199">
        <f t="shared" si="27"/>
        <v>0</v>
      </c>
      <c r="O49" s="199">
        <f t="shared" si="27"/>
        <v>0</v>
      </c>
      <c r="P49" s="199">
        <f t="shared" si="27"/>
        <v>0</v>
      </c>
      <c r="Q49" s="199">
        <f t="shared" si="27"/>
        <v>0</v>
      </c>
      <c r="R49" s="199">
        <f t="shared" si="27"/>
        <v>0</v>
      </c>
      <c r="S49" s="199">
        <f t="shared" si="27"/>
        <v>0</v>
      </c>
      <c r="T49" s="199">
        <f t="shared" si="27"/>
        <v>0</v>
      </c>
      <c r="U49" s="199">
        <f t="shared" si="27"/>
        <v>0</v>
      </c>
      <c r="V49" s="199">
        <f t="shared" si="27"/>
        <v>2320490.7399999998</v>
      </c>
      <c r="W49" s="199">
        <f t="shared" si="27"/>
        <v>9450055.7246540841</v>
      </c>
      <c r="X49" s="330">
        <f t="shared" si="27"/>
        <v>-9281962.959999999</v>
      </c>
    </row>
    <row r="50" spans="1:4575" x14ac:dyDescent="0.3">
      <c r="A50" s="327" t="s">
        <v>150</v>
      </c>
      <c r="B50" s="51" t="s">
        <v>167</v>
      </c>
      <c r="C50" s="47" t="s">
        <v>163</v>
      </c>
      <c r="D50" s="6">
        <v>16879</v>
      </c>
      <c r="E50" s="6">
        <v>1</v>
      </c>
      <c r="F50" s="10" t="s">
        <v>44</v>
      </c>
      <c r="G50" s="10" t="s">
        <v>36</v>
      </c>
      <c r="H50" s="23">
        <v>36</v>
      </c>
      <c r="I50" s="46">
        <v>3419652.1987980008</v>
      </c>
      <c r="J50" s="105">
        <v>3077688.25</v>
      </c>
      <c r="K50" s="81">
        <f>I50-J50</f>
        <v>341963.94879800081</v>
      </c>
      <c r="L50" s="81">
        <f t="shared" si="21"/>
        <v>615537.65</v>
      </c>
      <c r="M50" s="81"/>
      <c r="N50" s="81"/>
      <c r="O50" s="81"/>
      <c r="P50" s="81"/>
      <c r="Q50" s="81"/>
      <c r="R50" s="81"/>
      <c r="S50" s="81"/>
      <c r="T50" s="81"/>
      <c r="U50" s="79">
        <f t="shared" si="23"/>
        <v>0</v>
      </c>
      <c r="V50" s="80">
        <f t="shared" si="24"/>
        <v>615537.65</v>
      </c>
      <c r="W50" s="94">
        <f t="shared" si="25"/>
        <v>2804114.5487980009</v>
      </c>
      <c r="X50" s="328">
        <f>K50-W50</f>
        <v>-2462150.6</v>
      </c>
    </row>
    <row r="51" spans="1:4575" x14ac:dyDescent="0.3">
      <c r="A51" s="327" t="s">
        <v>150</v>
      </c>
      <c r="B51" s="51" t="s">
        <v>167</v>
      </c>
      <c r="C51" s="47" t="s">
        <v>163</v>
      </c>
      <c r="D51" s="6">
        <v>16879</v>
      </c>
      <c r="E51" s="6">
        <v>2</v>
      </c>
      <c r="F51" s="10" t="s">
        <v>45</v>
      </c>
      <c r="G51" s="9" t="s">
        <v>46</v>
      </c>
      <c r="H51" s="23">
        <v>390</v>
      </c>
      <c r="I51" s="46">
        <v>2977703.4487980008</v>
      </c>
      <c r="J51" s="105">
        <v>2800162.26</v>
      </c>
      <c r="K51" s="81">
        <f t="shared" ref="K51:K54" si="28">I51-J51</f>
        <v>177541.18879800104</v>
      </c>
      <c r="L51" s="81">
        <f t="shared" si="21"/>
        <v>560032.45199999993</v>
      </c>
      <c r="M51" s="81"/>
      <c r="N51" s="81"/>
      <c r="O51" s="81"/>
      <c r="P51" s="81"/>
      <c r="Q51" s="81"/>
      <c r="R51" s="81"/>
      <c r="S51" s="81"/>
      <c r="T51" s="81"/>
      <c r="U51" s="79">
        <f t="shared" si="23"/>
        <v>0</v>
      </c>
      <c r="V51" s="80">
        <f t="shared" si="24"/>
        <v>560032.45199999993</v>
      </c>
      <c r="W51" s="94">
        <f t="shared" si="25"/>
        <v>2417670.9967980008</v>
      </c>
      <c r="X51" s="328">
        <f t="shared" ref="X51:X54" si="29">K51-W51</f>
        <v>-2240129.8079999997</v>
      </c>
    </row>
    <row r="52" spans="1:4575" x14ac:dyDescent="0.3">
      <c r="A52" s="327" t="s">
        <v>150</v>
      </c>
      <c r="B52" s="51" t="s">
        <v>167</v>
      </c>
      <c r="C52" s="47" t="s">
        <v>163</v>
      </c>
      <c r="D52" s="6">
        <v>16879</v>
      </c>
      <c r="E52" s="6">
        <v>3</v>
      </c>
      <c r="F52" s="10" t="s">
        <v>45</v>
      </c>
      <c r="G52" s="9" t="s">
        <v>38</v>
      </c>
      <c r="H52" s="23">
        <v>600</v>
      </c>
      <c r="I52" s="46">
        <v>2977703.4487980008</v>
      </c>
      <c r="J52" s="105">
        <v>2800162.26</v>
      </c>
      <c r="K52" s="81">
        <f t="shared" si="28"/>
        <v>177541.18879800104</v>
      </c>
      <c r="L52" s="81">
        <f t="shared" si="21"/>
        <v>560032.45199999993</v>
      </c>
      <c r="M52" s="81"/>
      <c r="N52" s="81"/>
      <c r="O52" s="81"/>
      <c r="P52" s="81"/>
      <c r="Q52" s="81"/>
      <c r="R52" s="81"/>
      <c r="S52" s="81"/>
      <c r="T52" s="81"/>
      <c r="U52" s="79">
        <f t="shared" si="23"/>
        <v>0</v>
      </c>
      <c r="V52" s="80">
        <f t="shared" si="24"/>
        <v>560032.45199999993</v>
      </c>
      <c r="W52" s="94">
        <f t="shared" si="25"/>
        <v>2417670.9967980008</v>
      </c>
      <c r="X52" s="328">
        <f t="shared" si="29"/>
        <v>-2240129.8079999997</v>
      </c>
    </row>
    <row r="53" spans="1:4575" x14ac:dyDescent="0.3">
      <c r="A53" s="327" t="s">
        <v>150</v>
      </c>
      <c r="B53" s="51" t="s">
        <v>167</v>
      </c>
      <c r="C53" s="47" t="s">
        <v>163</v>
      </c>
      <c r="D53" s="6">
        <v>16879</v>
      </c>
      <c r="E53" s="6">
        <v>4</v>
      </c>
      <c r="F53" s="10" t="s">
        <v>45</v>
      </c>
      <c r="G53" s="9" t="s">
        <v>34</v>
      </c>
      <c r="H53" s="23">
        <v>2010</v>
      </c>
      <c r="I53" s="46">
        <v>2977703.4487980008</v>
      </c>
      <c r="J53" s="105">
        <v>2800162.26</v>
      </c>
      <c r="K53" s="81">
        <f t="shared" si="28"/>
        <v>177541.18879800104</v>
      </c>
      <c r="L53" s="81">
        <f t="shared" si="21"/>
        <v>560032.45199999993</v>
      </c>
      <c r="M53" s="81"/>
      <c r="N53" s="81"/>
      <c r="O53" s="81"/>
      <c r="P53" s="81"/>
      <c r="Q53" s="81"/>
      <c r="R53" s="81"/>
      <c r="S53" s="81"/>
      <c r="T53" s="81"/>
      <c r="U53" s="79">
        <f t="shared" si="23"/>
        <v>0</v>
      </c>
      <c r="V53" s="80">
        <f t="shared" si="24"/>
        <v>560032.45199999993</v>
      </c>
      <c r="W53" s="94">
        <f t="shared" si="25"/>
        <v>2417670.9967980008</v>
      </c>
      <c r="X53" s="328">
        <f t="shared" si="29"/>
        <v>-2240129.8079999997</v>
      </c>
    </row>
    <row r="54" spans="1:4575" x14ac:dyDescent="0.3">
      <c r="A54" s="327" t="s">
        <v>150</v>
      </c>
      <c r="B54" s="51" t="s">
        <v>167</v>
      </c>
      <c r="C54" s="47" t="s">
        <v>163</v>
      </c>
      <c r="D54" s="6">
        <v>16879</v>
      </c>
      <c r="E54" s="6">
        <v>5</v>
      </c>
      <c r="F54" s="10" t="s">
        <v>45</v>
      </c>
      <c r="G54" s="9" t="s">
        <v>47</v>
      </c>
      <c r="H54" s="23">
        <v>315</v>
      </c>
      <c r="I54" s="46">
        <v>3148252.1987980008</v>
      </c>
      <c r="J54" s="105">
        <v>2898102.26</v>
      </c>
      <c r="K54" s="81">
        <f t="shared" si="28"/>
        <v>250149.93879800104</v>
      </c>
      <c r="L54" s="81">
        <f t="shared" si="21"/>
        <v>579620.45199999993</v>
      </c>
      <c r="M54" s="81"/>
      <c r="N54" s="81"/>
      <c r="O54" s="81"/>
      <c r="P54" s="81"/>
      <c r="Q54" s="81"/>
      <c r="R54" s="81"/>
      <c r="S54" s="81"/>
      <c r="T54" s="81"/>
      <c r="U54" s="79">
        <f t="shared" si="23"/>
        <v>0</v>
      </c>
      <c r="V54" s="80">
        <f t="shared" si="24"/>
        <v>579620.45199999993</v>
      </c>
      <c r="W54" s="94">
        <f t="shared" si="25"/>
        <v>2568631.7467980008</v>
      </c>
      <c r="X54" s="328">
        <f t="shared" si="29"/>
        <v>-2318481.8079999997</v>
      </c>
    </row>
    <row r="55" spans="1:4575" s="31" customFormat="1" ht="16.2" thickBot="1" x14ac:dyDescent="0.35">
      <c r="A55" s="329" t="s">
        <v>152</v>
      </c>
      <c r="C55" s="356"/>
      <c r="D55" s="356"/>
      <c r="E55" s="356"/>
      <c r="F55" s="356"/>
      <c r="G55" s="356"/>
      <c r="H55" s="356">
        <f>SUM(H50:H54)</f>
        <v>3351</v>
      </c>
      <c r="I55" s="356">
        <f t="shared" ref="I55:X55" si="30">SUM(I50:I54)</f>
        <v>15501014.743990004</v>
      </c>
      <c r="J55" s="356">
        <f t="shared" si="30"/>
        <v>14376277.289999999</v>
      </c>
      <c r="K55" s="356">
        <f t="shared" si="30"/>
        <v>1124737.453990005</v>
      </c>
      <c r="L55" s="356">
        <f t="shared" si="30"/>
        <v>2875255.4580000001</v>
      </c>
      <c r="M55" s="356">
        <f t="shared" si="30"/>
        <v>0</v>
      </c>
      <c r="N55" s="356">
        <f t="shared" si="30"/>
        <v>0</v>
      </c>
      <c r="O55" s="356">
        <f t="shared" si="30"/>
        <v>0</v>
      </c>
      <c r="P55" s="356">
        <f t="shared" si="30"/>
        <v>0</v>
      </c>
      <c r="Q55" s="356">
        <f t="shared" si="30"/>
        <v>0</v>
      </c>
      <c r="R55" s="356">
        <f t="shared" si="30"/>
        <v>0</v>
      </c>
      <c r="S55" s="356">
        <f t="shared" si="30"/>
        <v>0</v>
      </c>
      <c r="T55" s="356">
        <f t="shared" si="30"/>
        <v>0</v>
      </c>
      <c r="U55" s="356">
        <f t="shared" si="30"/>
        <v>0</v>
      </c>
      <c r="V55" s="356">
        <f t="shared" si="30"/>
        <v>2875255.4580000001</v>
      </c>
      <c r="W55" s="356">
        <f t="shared" si="30"/>
        <v>12625759.285990005</v>
      </c>
      <c r="X55" s="357">
        <f t="shared" si="30"/>
        <v>-11501021.832</v>
      </c>
    </row>
    <row r="56" spans="1:4575" s="31" customFormat="1" ht="16.2" thickBot="1" x14ac:dyDescent="0.35">
      <c r="A56" s="329" t="s">
        <v>148</v>
      </c>
      <c r="B56" s="329"/>
      <c r="C56" s="369"/>
      <c r="D56" s="391"/>
      <c r="E56" s="370"/>
      <c r="F56" s="371"/>
      <c r="G56" s="372"/>
      <c r="H56" s="373">
        <f t="shared" ref="H56:X56" si="31">H49+H55</f>
        <v>6465</v>
      </c>
      <c r="I56" s="340">
        <f t="shared" si="31"/>
        <v>27271561.208644088</v>
      </c>
      <c r="J56" s="340">
        <f t="shared" si="31"/>
        <v>25978730.990000002</v>
      </c>
      <c r="K56" s="340">
        <f t="shared" si="31"/>
        <v>1292830.2186440888</v>
      </c>
      <c r="L56" s="340">
        <f t="shared" si="31"/>
        <v>5195746.1979999999</v>
      </c>
      <c r="M56" s="340">
        <f t="shared" si="31"/>
        <v>0</v>
      </c>
      <c r="N56" s="340">
        <f t="shared" si="31"/>
        <v>0</v>
      </c>
      <c r="O56" s="340">
        <f t="shared" si="31"/>
        <v>0</v>
      </c>
      <c r="P56" s="340">
        <f t="shared" si="31"/>
        <v>0</v>
      </c>
      <c r="Q56" s="340">
        <f t="shared" si="31"/>
        <v>0</v>
      </c>
      <c r="R56" s="340">
        <f t="shared" si="31"/>
        <v>0</v>
      </c>
      <c r="S56" s="340">
        <f t="shared" si="31"/>
        <v>0</v>
      </c>
      <c r="T56" s="340">
        <f t="shared" si="31"/>
        <v>0</v>
      </c>
      <c r="U56" s="340">
        <f t="shared" si="31"/>
        <v>0</v>
      </c>
      <c r="V56" s="340">
        <f t="shared" si="31"/>
        <v>5195746.1979999999</v>
      </c>
      <c r="W56" s="340">
        <f t="shared" si="31"/>
        <v>22075815.010644089</v>
      </c>
      <c r="X56" s="341">
        <f t="shared" si="31"/>
        <v>-20782984.791999999</v>
      </c>
    </row>
    <row r="57" spans="1:4575" s="58" customFormat="1" ht="31.8" thickBot="1" x14ac:dyDescent="0.35">
      <c r="A57" s="332" t="s">
        <v>148</v>
      </c>
      <c r="B57" s="332" t="s">
        <v>168</v>
      </c>
      <c r="C57" s="61" t="s">
        <v>164</v>
      </c>
      <c r="D57" s="389" t="s">
        <v>169</v>
      </c>
      <c r="E57" s="53" t="s">
        <v>174</v>
      </c>
      <c r="F57" s="407" t="s">
        <v>48</v>
      </c>
      <c r="G57" s="407"/>
      <c r="H57" s="54" t="s">
        <v>4</v>
      </c>
      <c r="I57" s="54" t="s">
        <v>5</v>
      </c>
      <c r="J57" s="103" t="s">
        <v>131</v>
      </c>
      <c r="K57" s="54" t="s">
        <v>145</v>
      </c>
      <c r="L57" s="55">
        <v>0.2</v>
      </c>
      <c r="M57" s="54" t="s">
        <v>132</v>
      </c>
      <c r="N57" s="54" t="s">
        <v>133</v>
      </c>
      <c r="O57" s="54" t="s">
        <v>134</v>
      </c>
      <c r="P57" s="54" t="s">
        <v>135</v>
      </c>
      <c r="Q57" s="54" t="s">
        <v>136</v>
      </c>
      <c r="R57" s="54" t="s">
        <v>137</v>
      </c>
      <c r="S57" s="54" t="s">
        <v>138</v>
      </c>
      <c r="T57" s="54" t="s">
        <v>139</v>
      </c>
      <c r="U57" s="53" t="s">
        <v>140</v>
      </c>
      <c r="V57" s="54" t="s">
        <v>144</v>
      </c>
      <c r="W57" s="56" t="s">
        <v>141</v>
      </c>
      <c r="X57" s="56" t="s">
        <v>160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22"/>
      <c r="MG57" s="22"/>
      <c r="MH57" s="22"/>
      <c r="MI57" s="22"/>
      <c r="MJ57" s="22"/>
      <c r="MK57" s="22"/>
      <c r="ML57" s="22"/>
      <c r="MM57" s="22"/>
      <c r="MN57" s="22"/>
      <c r="MO57" s="22"/>
      <c r="MP57" s="22"/>
      <c r="MQ57" s="22"/>
      <c r="MR57" s="22"/>
      <c r="MS57" s="22"/>
      <c r="MT57" s="2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22"/>
      <c r="NU57" s="22"/>
      <c r="NV57" s="22"/>
      <c r="NW57" s="22"/>
      <c r="NX57" s="22"/>
      <c r="NY57" s="22"/>
      <c r="NZ57" s="22"/>
      <c r="OA57" s="22"/>
      <c r="OB57" s="22"/>
      <c r="OC57" s="22"/>
      <c r="OD57" s="22"/>
      <c r="OE57" s="22"/>
      <c r="OF57" s="22"/>
      <c r="OG57" s="22"/>
      <c r="OH57" s="22"/>
      <c r="OI57" s="22"/>
      <c r="OJ57" s="22"/>
      <c r="OK57" s="22"/>
      <c r="OL57" s="22"/>
      <c r="OM57" s="22"/>
      <c r="ON57" s="22"/>
      <c r="OO57" s="22"/>
      <c r="OP57" s="22"/>
      <c r="OQ57" s="22"/>
      <c r="OR57" s="22"/>
      <c r="OS57" s="22"/>
      <c r="OT57" s="22"/>
      <c r="OU57" s="22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22"/>
      <c r="PV57" s="22"/>
      <c r="PW57" s="22"/>
      <c r="PX57" s="22"/>
      <c r="PY57" s="22"/>
      <c r="PZ57" s="22"/>
      <c r="QA57" s="22"/>
      <c r="QB57" s="22"/>
      <c r="QC57" s="22"/>
      <c r="QD57" s="22"/>
      <c r="QE57" s="22"/>
      <c r="QF57" s="22"/>
      <c r="QG57" s="22"/>
      <c r="QH57" s="22"/>
      <c r="QI57" s="22"/>
      <c r="QJ57" s="22"/>
      <c r="QK57" s="22"/>
      <c r="QL57" s="22"/>
      <c r="QM57" s="22"/>
      <c r="QN57" s="22"/>
      <c r="QO57" s="22"/>
      <c r="QP57" s="22"/>
      <c r="QQ57" s="22"/>
      <c r="QR57" s="22"/>
      <c r="QS57" s="22"/>
      <c r="QT57" s="22"/>
      <c r="QU57" s="22"/>
      <c r="QV57" s="22"/>
      <c r="QW57" s="22"/>
      <c r="QX57" s="22"/>
      <c r="QY57" s="22"/>
      <c r="QZ57" s="22"/>
      <c r="RA57" s="22"/>
      <c r="RB57" s="22"/>
      <c r="RC57" s="22"/>
      <c r="RD57" s="22"/>
      <c r="RE57" s="22"/>
      <c r="RF57" s="22"/>
      <c r="RG57" s="22"/>
      <c r="RH57" s="22"/>
      <c r="RI57" s="22"/>
      <c r="RJ57" s="22"/>
      <c r="RK57" s="22"/>
      <c r="RL57" s="22"/>
      <c r="RM57" s="22"/>
      <c r="RN57" s="22"/>
      <c r="RO57" s="22"/>
      <c r="RP57" s="22"/>
      <c r="RQ57" s="22"/>
      <c r="RR57" s="22"/>
      <c r="RS57" s="22"/>
      <c r="RT57" s="22"/>
      <c r="RU57" s="22"/>
      <c r="RV57" s="22"/>
      <c r="RW57" s="22"/>
      <c r="RX57" s="22"/>
      <c r="RY57" s="22"/>
      <c r="RZ57" s="22"/>
      <c r="SA57" s="22"/>
      <c r="SB57" s="22"/>
      <c r="SC57" s="22"/>
      <c r="SD57" s="22"/>
      <c r="SE57" s="22"/>
      <c r="SF57" s="22"/>
      <c r="SG57" s="22"/>
      <c r="SH57" s="22"/>
      <c r="SI57" s="22"/>
      <c r="SJ57" s="22"/>
      <c r="SK57" s="22"/>
      <c r="SL57" s="22"/>
      <c r="SM57" s="22"/>
      <c r="SN57" s="22"/>
      <c r="SO57" s="22"/>
      <c r="SP57" s="22"/>
      <c r="SQ57" s="22"/>
      <c r="SR57" s="22"/>
      <c r="SS57" s="22"/>
      <c r="ST57" s="22"/>
      <c r="SU57" s="22"/>
      <c r="SV57" s="22"/>
      <c r="SW57" s="22"/>
      <c r="SX57" s="22"/>
      <c r="SY57" s="22"/>
      <c r="SZ57" s="22"/>
      <c r="TA57" s="22"/>
      <c r="TB57" s="22"/>
      <c r="TC57" s="22"/>
      <c r="TD57" s="22"/>
      <c r="TE57" s="22"/>
      <c r="TF57" s="22"/>
      <c r="TG57" s="22"/>
      <c r="TH57" s="22"/>
      <c r="TI57" s="22"/>
      <c r="TJ57" s="22"/>
      <c r="TK57" s="22"/>
      <c r="TL57" s="22"/>
      <c r="TM57" s="22"/>
      <c r="TN57" s="22"/>
      <c r="TO57" s="22"/>
      <c r="TP57" s="22"/>
      <c r="TQ57" s="22"/>
      <c r="TR57" s="22"/>
      <c r="TS57" s="22"/>
      <c r="TT57" s="22"/>
      <c r="TU57" s="22"/>
      <c r="TV57" s="22"/>
      <c r="TW57" s="22"/>
      <c r="TX57" s="22"/>
      <c r="TY57" s="22"/>
      <c r="TZ57" s="22"/>
      <c r="UA57" s="22"/>
      <c r="UB57" s="22"/>
      <c r="UC57" s="22"/>
      <c r="UD57" s="22"/>
      <c r="UE57" s="22"/>
      <c r="UF57" s="22"/>
      <c r="UG57" s="22"/>
      <c r="UH57" s="22"/>
      <c r="UI57" s="22"/>
      <c r="UJ57" s="22"/>
      <c r="UK57" s="22"/>
      <c r="UL57" s="22"/>
      <c r="UM57" s="22"/>
      <c r="UN57" s="22"/>
      <c r="UO57" s="22"/>
      <c r="UP57" s="22"/>
      <c r="UQ57" s="22"/>
      <c r="UR57" s="22"/>
      <c r="US57" s="22"/>
      <c r="UT57" s="22"/>
      <c r="UU57" s="22"/>
      <c r="UV57" s="22"/>
      <c r="UW57" s="22"/>
      <c r="UX57" s="22"/>
      <c r="UY57" s="22"/>
      <c r="UZ57" s="22"/>
      <c r="VA57" s="22"/>
      <c r="VB57" s="22"/>
      <c r="VC57" s="22"/>
      <c r="VD57" s="22"/>
      <c r="VE57" s="22"/>
      <c r="VF57" s="22"/>
      <c r="VG57" s="22"/>
      <c r="VH57" s="22"/>
      <c r="VI57" s="22"/>
      <c r="VJ57" s="22"/>
      <c r="VK57" s="22"/>
      <c r="VL57" s="22"/>
      <c r="VM57" s="22"/>
      <c r="VN57" s="22"/>
      <c r="VO57" s="22"/>
      <c r="VP57" s="22"/>
      <c r="VQ57" s="22"/>
      <c r="VR57" s="22"/>
      <c r="VS57" s="22"/>
      <c r="VT57" s="22"/>
      <c r="VU57" s="22"/>
      <c r="VV57" s="22"/>
      <c r="VW57" s="22"/>
      <c r="VX57" s="22"/>
      <c r="VY57" s="22"/>
      <c r="VZ57" s="22"/>
      <c r="WA57" s="22"/>
      <c r="WB57" s="22"/>
      <c r="WC57" s="22"/>
      <c r="WD57" s="22"/>
      <c r="WE57" s="22"/>
      <c r="WF57" s="22"/>
      <c r="WG57" s="22"/>
      <c r="WH57" s="22"/>
      <c r="WI57" s="22"/>
      <c r="WJ57" s="22"/>
      <c r="WK57" s="22"/>
      <c r="WL57" s="22"/>
      <c r="WM57" s="22"/>
      <c r="WN57" s="22"/>
      <c r="WO57" s="22"/>
      <c r="WP57" s="22"/>
      <c r="WQ57" s="22"/>
      <c r="WR57" s="22"/>
      <c r="WS57" s="22"/>
      <c r="WT57" s="22"/>
      <c r="WU57" s="22"/>
      <c r="WV57" s="22"/>
      <c r="WW57" s="22"/>
      <c r="WX57" s="22"/>
      <c r="WY57" s="22"/>
      <c r="WZ57" s="22"/>
      <c r="XA57" s="22"/>
      <c r="XB57" s="22"/>
      <c r="XC57" s="22"/>
      <c r="XD57" s="22"/>
      <c r="XE57" s="22"/>
      <c r="XF57" s="22"/>
      <c r="XG57" s="22"/>
      <c r="XH57" s="22"/>
      <c r="XI57" s="22"/>
      <c r="XJ57" s="22"/>
      <c r="XK57" s="22"/>
      <c r="XL57" s="22"/>
      <c r="XM57" s="22"/>
      <c r="XN57" s="22"/>
      <c r="XO57" s="22"/>
      <c r="XP57" s="22"/>
      <c r="XQ57" s="22"/>
      <c r="XR57" s="22"/>
      <c r="XS57" s="22"/>
      <c r="XT57" s="22"/>
      <c r="XU57" s="22"/>
      <c r="XV57" s="22"/>
      <c r="XW57" s="22"/>
      <c r="XX57" s="22"/>
      <c r="XY57" s="22"/>
      <c r="XZ57" s="22"/>
      <c r="YA57" s="22"/>
      <c r="YB57" s="22"/>
      <c r="YC57" s="22"/>
      <c r="YD57" s="22"/>
      <c r="YE57" s="22"/>
      <c r="YF57" s="22"/>
      <c r="YG57" s="22"/>
      <c r="YH57" s="22"/>
      <c r="YI57" s="22"/>
      <c r="YJ57" s="22"/>
      <c r="YK57" s="22"/>
      <c r="YL57" s="22"/>
      <c r="YM57" s="22"/>
      <c r="YN57" s="22"/>
      <c r="YO57" s="22"/>
      <c r="YP57" s="22"/>
      <c r="YQ57" s="22"/>
      <c r="YR57" s="22"/>
      <c r="YS57" s="22"/>
      <c r="YT57" s="22"/>
      <c r="YU57" s="22"/>
      <c r="YV57" s="22"/>
      <c r="YW57" s="22"/>
      <c r="YX57" s="22"/>
      <c r="YY57" s="22"/>
      <c r="YZ57" s="22"/>
      <c r="ZA57" s="22"/>
      <c r="ZB57" s="22"/>
      <c r="ZC57" s="22"/>
      <c r="ZD57" s="22"/>
      <c r="ZE57" s="22"/>
      <c r="ZF57" s="22"/>
      <c r="ZG57" s="22"/>
      <c r="ZH57" s="22"/>
      <c r="ZI57" s="22"/>
      <c r="ZJ57" s="22"/>
      <c r="ZK57" s="22"/>
      <c r="ZL57" s="22"/>
      <c r="ZM57" s="22"/>
      <c r="ZN57" s="22"/>
      <c r="ZO57" s="22"/>
      <c r="ZP57" s="22"/>
      <c r="ZQ57" s="22"/>
      <c r="ZR57" s="22"/>
      <c r="ZS57" s="22"/>
      <c r="ZT57" s="22"/>
      <c r="ZU57" s="22"/>
      <c r="ZV57" s="22"/>
      <c r="ZW57" s="22"/>
      <c r="ZX57" s="22"/>
      <c r="ZY57" s="22"/>
      <c r="ZZ57" s="22"/>
      <c r="AAA57" s="22"/>
      <c r="AAB57" s="22"/>
      <c r="AAC57" s="22"/>
      <c r="AAD57" s="22"/>
      <c r="AAE57" s="22"/>
      <c r="AAF57" s="22"/>
      <c r="AAG57" s="22"/>
      <c r="AAH57" s="22"/>
      <c r="AAI57" s="22"/>
      <c r="AAJ57" s="22"/>
      <c r="AAK57" s="22"/>
      <c r="AAL57" s="22"/>
      <c r="AAM57" s="22"/>
      <c r="AAN57" s="22"/>
      <c r="AAO57" s="22"/>
      <c r="AAP57" s="22"/>
      <c r="AAQ57" s="22"/>
      <c r="AAR57" s="22"/>
      <c r="AAS57" s="22"/>
      <c r="AAT57" s="22"/>
      <c r="AAU57" s="22"/>
      <c r="AAV57" s="22"/>
      <c r="AAW57" s="22"/>
      <c r="AAX57" s="22"/>
      <c r="AAY57" s="22"/>
      <c r="AAZ57" s="22"/>
      <c r="ABA57" s="22"/>
      <c r="ABB57" s="22"/>
      <c r="ABC57" s="22"/>
      <c r="ABD57" s="22"/>
      <c r="ABE57" s="22"/>
      <c r="ABF57" s="22"/>
      <c r="ABG57" s="22"/>
      <c r="ABH57" s="22"/>
      <c r="ABI57" s="22"/>
      <c r="ABJ57" s="22"/>
      <c r="ABK57" s="22"/>
      <c r="ABL57" s="22"/>
      <c r="ABM57" s="22"/>
      <c r="ABN57" s="22"/>
      <c r="ABO57" s="22"/>
      <c r="ABP57" s="22"/>
      <c r="ABQ57" s="22"/>
      <c r="ABR57" s="22"/>
      <c r="ABS57" s="22"/>
      <c r="ABT57" s="22"/>
      <c r="ABU57" s="22"/>
      <c r="ABV57" s="22"/>
      <c r="ABW57" s="22"/>
      <c r="ABX57" s="22"/>
      <c r="ABY57" s="22"/>
      <c r="ABZ57" s="22"/>
      <c r="ACA57" s="22"/>
      <c r="ACB57" s="22"/>
      <c r="ACC57" s="22"/>
      <c r="ACD57" s="22"/>
      <c r="ACE57" s="22"/>
      <c r="ACF57" s="22"/>
      <c r="ACG57" s="22"/>
      <c r="ACH57" s="22"/>
      <c r="ACI57" s="22"/>
      <c r="ACJ57" s="22"/>
      <c r="ACK57" s="22"/>
      <c r="ACL57" s="22"/>
      <c r="ACM57" s="22"/>
      <c r="ACN57" s="22"/>
      <c r="ACO57" s="22"/>
      <c r="ACP57" s="22"/>
      <c r="ACQ57" s="22"/>
      <c r="ACR57" s="22"/>
      <c r="ACS57" s="22"/>
      <c r="ACT57" s="22"/>
      <c r="ACU57" s="22"/>
      <c r="ACV57" s="22"/>
      <c r="ACW57" s="22"/>
      <c r="ACX57" s="22"/>
      <c r="ACY57" s="22"/>
      <c r="ACZ57" s="22"/>
      <c r="ADA57" s="22"/>
      <c r="ADB57" s="22"/>
      <c r="ADC57" s="22"/>
      <c r="ADD57" s="22"/>
      <c r="ADE57" s="22"/>
      <c r="ADF57" s="22"/>
      <c r="ADG57" s="22"/>
      <c r="ADH57" s="22"/>
      <c r="ADI57" s="22"/>
      <c r="ADJ57" s="22"/>
      <c r="ADK57" s="22"/>
      <c r="ADL57" s="22"/>
      <c r="ADM57" s="22"/>
      <c r="ADN57" s="22"/>
      <c r="ADO57" s="22"/>
      <c r="ADP57" s="22"/>
      <c r="ADQ57" s="22"/>
      <c r="ADR57" s="22"/>
      <c r="ADS57" s="22"/>
      <c r="ADT57" s="22"/>
      <c r="ADU57" s="22"/>
      <c r="ADV57" s="22"/>
      <c r="ADW57" s="22"/>
      <c r="ADX57" s="22"/>
      <c r="ADY57" s="22"/>
      <c r="ADZ57" s="22"/>
      <c r="AEA57" s="22"/>
      <c r="AEB57" s="22"/>
      <c r="AEC57" s="22"/>
      <c r="AED57" s="22"/>
      <c r="AEE57" s="22"/>
      <c r="AEF57" s="22"/>
      <c r="AEG57" s="22"/>
      <c r="AEH57" s="22"/>
      <c r="AEI57" s="22"/>
      <c r="AEJ57" s="22"/>
      <c r="AEK57" s="22"/>
      <c r="AEL57" s="22"/>
      <c r="AEM57" s="22"/>
      <c r="AEN57" s="22"/>
      <c r="AEO57" s="22"/>
      <c r="AEP57" s="22"/>
      <c r="AEQ57" s="22"/>
      <c r="AER57" s="22"/>
      <c r="AES57" s="22"/>
      <c r="AET57" s="22"/>
      <c r="AEU57" s="22"/>
      <c r="AEV57" s="22"/>
      <c r="AEW57" s="22"/>
      <c r="AEX57" s="22"/>
      <c r="AEY57" s="22"/>
      <c r="AEZ57" s="22"/>
      <c r="AFA57" s="22"/>
      <c r="AFB57" s="22"/>
      <c r="AFC57" s="22"/>
      <c r="AFD57" s="22"/>
      <c r="AFE57" s="22"/>
      <c r="AFF57" s="22"/>
      <c r="AFG57" s="22"/>
      <c r="AFH57" s="22"/>
      <c r="AFI57" s="22"/>
      <c r="AFJ57" s="22"/>
      <c r="AFK57" s="22"/>
      <c r="AFL57" s="22"/>
      <c r="AFM57" s="22"/>
      <c r="AFN57" s="22"/>
      <c r="AFO57" s="22"/>
      <c r="AFP57" s="22"/>
      <c r="AFQ57" s="22"/>
      <c r="AFR57" s="22"/>
      <c r="AFS57" s="22"/>
      <c r="AFT57" s="22"/>
      <c r="AFU57" s="22"/>
      <c r="AFV57" s="22"/>
      <c r="AFW57" s="22"/>
      <c r="AFX57" s="22"/>
      <c r="AFY57" s="22"/>
      <c r="AFZ57" s="22"/>
      <c r="AGA57" s="22"/>
      <c r="AGB57" s="22"/>
      <c r="AGC57" s="22"/>
      <c r="AGD57" s="22"/>
      <c r="AGE57" s="22"/>
      <c r="AGF57" s="22"/>
      <c r="AGG57" s="22"/>
      <c r="AGH57" s="22"/>
      <c r="AGI57" s="22"/>
      <c r="AGJ57" s="22"/>
      <c r="AGK57" s="22"/>
      <c r="AGL57" s="22"/>
      <c r="AGM57" s="22"/>
      <c r="AGN57" s="22"/>
      <c r="AGO57" s="22"/>
      <c r="AGP57" s="22"/>
      <c r="AGQ57" s="22"/>
      <c r="AGR57" s="22"/>
      <c r="AGS57" s="22"/>
      <c r="AGT57" s="22"/>
      <c r="AGU57" s="22"/>
      <c r="AGV57" s="22"/>
      <c r="AGW57" s="22"/>
      <c r="AGX57" s="22"/>
      <c r="AGY57" s="22"/>
      <c r="AGZ57" s="22"/>
      <c r="AHA57" s="22"/>
      <c r="AHB57" s="22"/>
      <c r="AHC57" s="22"/>
      <c r="AHD57" s="22"/>
      <c r="AHE57" s="22"/>
      <c r="AHF57" s="22"/>
      <c r="AHG57" s="22"/>
      <c r="AHH57" s="22"/>
      <c r="AHI57" s="22"/>
      <c r="AHJ57" s="22"/>
      <c r="AHK57" s="22"/>
      <c r="AHL57" s="22"/>
      <c r="AHM57" s="22"/>
      <c r="AHN57" s="22"/>
      <c r="AHO57" s="22"/>
      <c r="AHP57" s="22"/>
      <c r="AHQ57" s="22"/>
      <c r="AHR57" s="22"/>
      <c r="AHS57" s="22"/>
      <c r="AHT57" s="22"/>
      <c r="AHU57" s="22"/>
      <c r="AHV57" s="22"/>
      <c r="AHW57" s="22"/>
      <c r="AHX57" s="22"/>
      <c r="AHY57" s="22"/>
      <c r="AHZ57" s="22"/>
      <c r="AIA57" s="22"/>
      <c r="AIB57" s="22"/>
      <c r="AIC57" s="22"/>
      <c r="AID57" s="22"/>
      <c r="AIE57" s="22"/>
      <c r="AIF57" s="22"/>
      <c r="AIG57" s="22"/>
      <c r="AIH57" s="22"/>
      <c r="AII57" s="22"/>
      <c r="AIJ57" s="22"/>
      <c r="AIK57" s="22"/>
      <c r="AIL57" s="22"/>
      <c r="AIM57" s="22"/>
      <c r="AIN57" s="22"/>
      <c r="AIO57" s="22"/>
      <c r="AIP57" s="22"/>
      <c r="AIQ57" s="22"/>
      <c r="AIR57" s="22"/>
      <c r="AIS57" s="22"/>
      <c r="AIT57" s="22"/>
      <c r="AIU57" s="22"/>
      <c r="AIV57" s="22"/>
      <c r="AIW57" s="22"/>
      <c r="AIX57" s="22"/>
      <c r="AIY57" s="22"/>
      <c r="AIZ57" s="22"/>
      <c r="AJA57" s="22"/>
      <c r="AJB57" s="22"/>
      <c r="AJC57" s="22"/>
      <c r="AJD57" s="22"/>
      <c r="AJE57" s="22"/>
      <c r="AJF57" s="22"/>
      <c r="AJG57" s="22"/>
      <c r="AJH57" s="22"/>
      <c r="AJI57" s="22"/>
      <c r="AJJ57" s="22"/>
      <c r="AJK57" s="22"/>
      <c r="AJL57" s="22"/>
      <c r="AJM57" s="22"/>
      <c r="AJN57" s="22"/>
      <c r="AJO57" s="22"/>
      <c r="AJP57" s="22"/>
      <c r="AJQ57" s="22"/>
      <c r="AJR57" s="22"/>
      <c r="AJS57" s="22"/>
      <c r="AJT57" s="22"/>
      <c r="AJU57" s="22"/>
      <c r="AJV57" s="22"/>
      <c r="AJW57" s="22"/>
      <c r="AJX57" s="22"/>
      <c r="AJY57" s="22"/>
      <c r="AJZ57" s="22"/>
      <c r="AKA57" s="22"/>
      <c r="AKB57" s="22"/>
      <c r="AKC57" s="22"/>
      <c r="AKD57" s="22"/>
      <c r="AKE57" s="22"/>
      <c r="AKF57" s="22"/>
      <c r="AKG57" s="22"/>
      <c r="AKH57" s="22"/>
      <c r="AKI57" s="22"/>
      <c r="AKJ57" s="22"/>
      <c r="AKK57" s="22"/>
      <c r="AKL57" s="22"/>
      <c r="AKM57" s="22"/>
      <c r="AKN57" s="22"/>
      <c r="AKO57" s="22"/>
      <c r="AKP57" s="22"/>
      <c r="AKQ57" s="22"/>
      <c r="AKR57" s="22"/>
      <c r="AKS57" s="22"/>
      <c r="AKT57" s="22"/>
      <c r="AKU57" s="22"/>
      <c r="AKV57" s="22"/>
      <c r="AKW57" s="22"/>
      <c r="AKX57" s="22"/>
      <c r="AKY57" s="22"/>
      <c r="AKZ57" s="22"/>
      <c r="ALA57" s="22"/>
      <c r="ALB57" s="22"/>
      <c r="ALC57" s="22"/>
      <c r="ALD57" s="22"/>
      <c r="ALE57" s="22"/>
      <c r="ALF57" s="22"/>
      <c r="ALG57" s="22"/>
      <c r="ALH57" s="22"/>
      <c r="ALI57" s="22"/>
      <c r="ALJ57" s="22"/>
      <c r="ALK57" s="22"/>
      <c r="ALL57" s="22"/>
      <c r="ALM57" s="22"/>
      <c r="ALN57" s="22"/>
      <c r="ALO57" s="22"/>
      <c r="ALP57" s="22"/>
      <c r="ALQ57" s="22"/>
      <c r="ALR57" s="22"/>
      <c r="ALS57" s="22"/>
      <c r="ALT57" s="22"/>
      <c r="ALU57" s="22"/>
      <c r="ALV57" s="22"/>
      <c r="ALW57" s="22"/>
      <c r="ALX57" s="22"/>
      <c r="ALY57" s="22"/>
      <c r="ALZ57" s="22"/>
      <c r="AMA57" s="22"/>
      <c r="AMB57" s="22"/>
      <c r="AMC57" s="22"/>
      <c r="AMD57" s="22"/>
      <c r="AME57" s="22"/>
      <c r="AMF57" s="22"/>
      <c r="AMG57" s="22"/>
      <c r="AMH57" s="22"/>
      <c r="AMI57" s="22"/>
      <c r="AMJ57" s="22"/>
      <c r="AMK57" s="22"/>
      <c r="AML57" s="22"/>
      <c r="AMM57" s="22"/>
      <c r="AMN57" s="22"/>
      <c r="AMO57" s="22"/>
      <c r="AMP57" s="22"/>
      <c r="AMQ57" s="22"/>
      <c r="AMR57" s="22"/>
      <c r="AMS57" s="22"/>
      <c r="AMT57" s="22"/>
      <c r="AMU57" s="22"/>
      <c r="AMV57" s="22"/>
      <c r="AMW57" s="22"/>
      <c r="AMX57" s="22"/>
      <c r="AMY57" s="22"/>
      <c r="AMZ57" s="22"/>
      <c r="ANA57" s="22"/>
      <c r="ANB57" s="22"/>
      <c r="ANC57" s="22"/>
      <c r="AND57" s="22"/>
      <c r="ANE57" s="22"/>
      <c r="ANF57" s="22"/>
      <c r="ANG57" s="22"/>
      <c r="ANH57" s="22"/>
      <c r="ANI57" s="22"/>
      <c r="ANJ57" s="22"/>
      <c r="ANK57" s="22"/>
      <c r="ANL57" s="22"/>
      <c r="ANM57" s="22"/>
      <c r="ANN57" s="22"/>
      <c r="ANO57" s="22"/>
      <c r="ANP57" s="22"/>
      <c r="ANQ57" s="22"/>
      <c r="ANR57" s="22"/>
      <c r="ANS57" s="22"/>
      <c r="ANT57" s="22"/>
      <c r="ANU57" s="22"/>
      <c r="ANV57" s="22"/>
      <c r="ANW57" s="22"/>
      <c r="ANX57" s="22"/>
      <c r="ANY57" s="22"/>
      <c r="ANZ57" s="22"/>
      <c r="AOA57" s="22"/>
      <c r="AOB57" s="22"/>
      <c r="AOC57" s="22"/>
      <c r="AOD57" s="22"/>
      <c r="AOE57" s="22"/>
      <c r="AOF57" s="22"/>
      <c r="AOG57" s="22"/>
      <c r="AOH57" s="22"/>
      <c r="AOI57" s="22"/>
      <c r="AOJ57" s="22"/>
      <c r="AOK57" s="22"/>
      <c r="AOL57" s="22"/>
      <c r="AOM57" s="22"/>
      <c r="AON57" s="22"/>
      <c r="AOO57" s="22"/>
      <c r="AOP57" s="22"/>
      <c r="AOQ57" s="22"/>
      <c r="AOR57" s="22"/>
      <c r="AOS57" s="22"/>
      <c r="AOT57" s="22"/>
      <c r="AOU57" s="22"/>
      <c r="AOV57" s="22"/>
      <c r="AOW57" s="22"/>
      <c r="AOX57" s="22"/>
      <c r="AOY57" s="22"/>
      <c r="AOZ57" s="22"/>
      <c r="APA57" s="22"/>
      <c r="APB57" s="22"/>
      <c r="APC57" s="22"/>
      <c r="APD57" s="22"/>
      <c r="APE57" s="22"/>
      <c r="APF57" s="22"/>
      <c r="APG57" s="22"/>
      <c r="APH57" s="22"/>
      <c r="API57" s="22"/>
      <c r="APJ57" s="22"/>
      <c r="APK57" s="22"/>
      <c r="APL57" s="22"/>
      <c r="APM57" s="22"/>
      <c r="APN57" s="22"/>
      <c r="APO57" s="22"/>
      <c r="APP57" s="22"/>
      <c r="APQ57" s="22"/>
      <c r="APR57" s="22"/>
      <c r="APS57" s="22"/>
      <c r="APT57" s="22"/>
      <c r="APU57" s="22"/>
      <c r="APV57" s="22"/>
      <c r="APW57" s="22"/>
      <c r="APX57" s="22"/>
      <c r="APY57" s="22"/>
      <c r="APZ57" s="22"/>
      <c r="AQA57" s="22"/>
      <c r="AQB57" s="22"/>
      <c r="AQC57" s="22"/>
      <c r="AQD57" s="22"/>
      <c r="AQE57" s="22"/>
      <c r="AQF57" s="22"/>
      <c r="AQG57" s="22"/>
      <c r="AQH57" s="22"/>
      <c r="AQI57" s="22"/>
      <c r="AQJ57" s="22"/>
      <c r="AQK57" s="22"/>
      <c r="AQL57" s="22"/>
      <c r="AQM57" s="22"/>
      <c r="AQN57" s="22"/>
      <c r="AQO57" s="22"/>
      <c r="AQP57" s="22"/>
      <c r="AQQ57" s="22"/>
      <c r="AQR57" s="22"/>
      <c r="AQS57" s="22"/>
      <c r="AQT57" s="22"/>
      <c r="AQU57" s="22"/>
      <c r="AQV57" s="22"/>
      <c r="AQW57" s="22"/>
      <c r="AQX57" s="22"/>
      <c r="AQY57" s="22"/>
      <c r="AQZ57" s="22"/>
      <c r="ARA57" s="22"/>
      <c r="ARB57" s="22"/>
      <c r="ARC57" s="22"/>
      <c r="ARD57" s="22"/>
      <c r="ARE57" s="22"/>
      <c r="ARF57" s="22"/>
      <c r="ARG57" s="22"/>
      <c r="ARH57" s="22"/>
      <c r="ARI57" s="22"/>
      <c r="ARJ57" s="22"/>
      <c r="ARK57" s="22"/>
      <c r="ARL57" s="22"/>
      <c r="ARM57" s="22"/>
      <c r="ARN57" s="22"/>
      <c r="ARO57" s="22"/>
      <c r="ARP57" s="22"/>
      <c r="ARQ57" s="22"/>
      <c r="ARR57" s="22"/>
      <c r="ARS57" s="22"/>
      <c r="ART57" s="22"/>
      <c r="ARU57" s="22"/>
      <c r="ARV57" s="22"/>
      <c r="ARW57" s="22"/>
      <c r="ARX57" s="22"/>
      <c r="ARY57" s="22"/>
      <c r="ARZ57" s="22"/>
      <c r="ASA57" s="22"/>
      <c r="ASB57" s="22"/>
      <c r="ASC57" s="22"/>
      <c r="ASD57" s="22"/>
      <c r="ASE57" s="22"/>
      <c r="ASF57" s="22"/>
      <c r="ASG57" s="22"/>
      <c r="ASH57" s="22"/>
      <c r="ASI57" s="22"/>
      <c r="ASJ57" s="22"/>
      <c r="ASK57" s="22"/>
      <c r="ASL57" s="22"/>
      <c r="ASM57" s="22"/>
      <c r="ASN57" s="22"/>
      <c r="ASO57" s="22"/>
      <c r="ASP57" s="22"/>
      <c r="ASQ57" s="22"/>
      <c r="ASR57" s="22"/>
      <c r="ASS57" s="22"/>
      <c r="AST57" s="22"/>
      <c r="ASU57" s="22"/>
      <c r="ASV57" s="22"/>
      <c r="ASW57" s="22"/>
      <c r="ASX57" s="22"/>
      <c r="ASY57" s="22"/>
      <c r="ASZ57" s="22"/>
      <c r="ATA57" s="22"/>
      <c r="ATB57" s="22"/>
      <c r="ATC57" s="22"/>
      <c r="ATD57" s="22"/>
      <c r="ATE57" s="22"/>
      <c r="ATF57" s="22"/>
      <c r="ATG57" s="22"/>
      <c r="ATH57" s="22"/>
      <c r="ATI57" s="22"/>
      <c r="ATJ57" s="22"/>
      <c r="ATK57" s="22"/>
      <c r="ATL57" s="22"/>
      <c r="ATM57" s="22"/>
      <c r="ATN57" s="22"/>
      <c r="ATO57" s="22"/>
      <c r="ATP57" s="22"/>
      <c r="ATQ57" s="22"/>
      <c r="ATR57" s="22"/>
      <c r="ATS57" s="22"/>
      <c r="ATT57" s="22"/>
      <c r="ATU57" s="22"/>
      <c r="ATV57" s="22"/>
      <c r="ATW57" s="22"/>
      <c r="ATX57" s="22"/>
      <c r="ATY57" s="22"/>
      <c r="ATZ57" s="22"/>
      <c r="AUA57" s="22"/>
      <c r="AUB57" s="22"/>
      <c r="AUC57" s="22"/>
      <c r="AUD57" s="22"/>
      <c r="AUE57" s="22"/>
      <c r="AUF57" s="22"/>
      <c r="AUG57" s="22"/>
      <c r="AUH57" s="22"/>
      <c r="AUI57" s="22"/>
      <c r="AUJ57" s="22"/>
      <c r="AUK57" s="22"/>
      <c r="AUL57" s="22"/>
      <c r="AUM57" s="22"/>
      <c r="AUN57" s="22"/>
      <c r="AUO57" s="22"/>
      <c r="AUP57" s="22"/>
      <c r="AUQ57" s="22"/>
      <c r="AUR57" s="22"/>
      <c r="AUS57" s="22"/>
      <c r="AUT57" s="22"/>
      <c r="AUU57" s="22"/>
      <c r="AUV57" s="22"/>
      <c r="AUW57" s="22"/>
      <c r="AUX57" s="22"/>
      <c r="AUY57" s="22"/>
      <c r="AUZ57" s="22"/>
      <c r="AVA57" s="22"/>
      <c r="AVB57" s="22"/>
      <c r="AVC57" s="22"/>
      <c r="AVD57" s="22"/>
      <c r="AVE57" s="22"/>
      <c r="AVF57" s="22"/>
      <c r="AVG57" s="22"/>
      <c r="AVH57" s="22"/>
      <c r="AVI57" s="22"/>
      <c r="AVJ57" s="22"/>
      <c r="AVK57" s="22"/>
      <c r="AVL57" s="22"/>
      <c r="AVM57" s="22"/>
      <c r="AVN57" s="22"/>
      <c r="AVO57" s="22"/>
      <c r="AVP57" s="22"/>
      <c r="AVQ57" s="22"/>
      <c r="AVR57" s="22"/>
      <c r="AVS57" s="22"/>
      <c r="AVT57" s="22"/>
      <c r="AVU57" s="22"/>
      <c r="AVV57" s="22"/>
      <c r="AVW57" s="22"/>
      <c r="AVX57" s="22"/>
      <c r="AVY57" s="22"/>
      <c r="AVZ57" s="22"/>
      <c r="AWA57" s="22"/>
      <c r="AWB57" s="22"/>
      <c r="AWC57" s="22"/>
      <c r="AWD57" s="22"/>
      <c r="AWE57" s="22"/>
      <c r="AWF57" s="22"/>
      <c r="AWG57" s="22"/>
      <c r="AWH57" s="22"/>
      <c r="AWI57" s="22"/>
      <c r="AWJ57" s="22"/>
      <c r="AWK57" s="22"/>
      <c r="AWL57" s="22"/>
      <c r="AWM57" s="22"/>
      <c r="AWN57" s="22"/>
      <c r="AWO57" s="22"/>
      <c r="AWP57" s="22"/>
      <c r="AWQ57" s="22"/>
      <c r="AWR57" s="22"/>
      <c r="AWS57" s="22"/>
      <c r="AWT57" s="22"/>
      <c r="AWU57" s="22"/>
      <c r="AWV57" s="22"/>
      <c r="AWW57" s="22"/>
      <c r="AWX57" s="22"/>
      <c r="AWY57" s="22"/>
      <c r="AWZ57" s="22"/>
      <c r="AXA57" s="22"/>
      <c r="AXB57" s="22"/>
      <c r="AXC57" s="22"/>
      <c r="AXD57" s="22"/>
      <c r="AXE57" s="22"/>
      <c r="AXF57" s="22"/>
      <c r="AXG57" s="22"/>
      <c r="AXH57" s="22"/>
      <c r="AXI57" s="22"/>
      <c r="AXJ57" s="22"/>
      <c r="AXK57" s="22"/>
      <c r="AXL57" s="22"/>
      <c r="AXM57" s="22"/>
      <c r="AXN57" s="22"/>
      <c r="AXO57" s="22"/>
      <c r="AXP57" s="22"/>
      <c r="AXQ57" s="22"/>
      <c r="AXR57" s="22"/>
      <c r="AXS57" s="22"/>
      <c r="AXT57" s="22"/>
      <c r="AXU57" s="22"/>
      <c r="AXV57" s="22"/>
      <c r="AXW57" s="22"/>
      <c r="AXX57" s="22"/>
      <c r="AXY57" s="22"/>
      <c r="AXZ57" s="22"/>
      <c r="AYA57" s="22"/>
      <c r="AYB57" s="22"/>
      <c r="AYC57" s="22"/>
      <c r="AYD57" s="22"/>
      <c r="AYE57" s="22"/>
      <c r="AYF57" s="22"/>
      <c r="AYG57" s="22"/>
      <c r="AYH57" s="22"/>
      <c r="AYI57" s="22"/>
      <c r="AYJ57" s="22"/>
      <c r="AYK57" s="22"/>
      <c r="AYL57" s="22"/>
      <c r="AYM57" s="22"/>
      <c r="AYN57" s="22"/>
      <c r="AYO57" s="22"/>
      <c r="AYP57" s="22"/>
      <c r="AYQ57" s="22"/>
      <c r="AYR57" s="22"/>
      <c r="AYS57" s="22"/>
      <c r="AYT57" s="22"/>
      <c r="AYU57" s="22"/>
      <c r="AYV57" s="22"/>
      <c r="AYW57" s="22"/>
      <c r="AYX57" s="22"/>
      <c r="AYY57" s="22"/>
      <c r="AYZ57" s="22"/>
      <c r="AZA57" s="22"/>
      <c r="AZB57" s="22"/>
      <c r="AZC57" s="22"/>
      <c r="AZD57" s="22"/>
      <c r="AZE57" s="22"/>
      <c r="AZF57" s="22"/>
      <c r="AZG57" s="22"/>
      <c r="AZH57" s="22"/>
      <c r="AZI57" s="22"/>
      <c r="AZJ57" s="22"/>
      <c r="AZK57" s="22"/>
      <c r="AZL57" s="22"/>
      <c r="AZM57" s="22"/>
      <c r="AZN57" s="22"/>
      <c r="AZO57" s="22"/>
      <c r="AZP57" s="22"/>
      <c r="AZQ57" s="22"/>
      <c r="AZR57" s="22"/>
      <c r="AZS57" s="22"/>
      <c r="AZT57" s="22"/>
      <c r="AZU57" s="22"/>
      <c r="AZV57" s="22"/>
      <c r="AZW57" s="22"/>
      <c r="AZX57" s="22"/>
      <c r="AZY57" s="22"/>
      <c r="AZZ57" s="22"/>
      <c r="BAA57" s="22"/>
      <c r="BAB57" s="22"/>
      <c r="BAC57" s="22"/>
      <c r="BAD57" s="22"/>
      <c r="BAE57" s="22"/>
      <c r="BAF57" s="22"/>
      <c r="BAG57" s="22"/>
      <c r="BAH57" s="22"/>
      <c r="BAI57" s="22"/>
      <c r="BAJ57" s="22"/>
      <c r="BAK57" s="22"/>
      <c r="BAL57" s="22"/>
      <c r="BAM57" s="22"/>
      <c r="BAN57" s="22"/>
      <c r="BAO57" s="22"/>
      <c r="BAP57" s="22"/>
      <c r="BAQ57" s="22"/>
      <c r="BAR57" s="22"/>
      <c r="BAS57" s="22"/>
      <c r="BAT57" s="22"/>
      <c r="BAU57" s="22"/>
      <c r="BAV57" s="22"/>
      <c r="BAW57" s="22"/>
      <c r="BAX57" s="22"/>
      <c r="BAY57" s="22"/>
      <c r="BAZ57" s="22"/>
      <c r="BBA57" s="22"/>
      <c r="BBB57" s="22"/>
      <c r="BBC57" s="22"/>
      <c r="BBD57" s="22"/>
      <c r="BBE57" s="22"/>
      <c r="BBF57" s="22"/>
      <c r="BBG57" s="22"/>
      <c r="BBH57" s="22"/>
      <c r="BBI57" s="22"/>
      <c r="BBJ57" s="22"/>
      <c r="BBK57" s="22"/>
      <c r="BBL57" s="22"/>
      <c r="BBM57" s="22"/>
      <c r="BBN57" s="22"/>
      <c r="BBO57" s="22"/>
      <c r="BBP57" s="22"/>
      <c r="BBQ57" s="22"/>
      <c r="BBR57" s="22"/>
      <c r="BBS57" s="22"/>
      <c r="BBT57" s="22"/>
      <c r="BBU57" s="22"/>
      <c r="BBV57" s="22"/>
      <c r="BBW57" s="22"/>
      <c r="BBX57" s="22"/>
      <c r="BBY57" s="22"/>
      <c r="BBZ57" s="22"/>
      <c r="BCA57" s="22"/>
      <c r="BCB57" s="22"/>
      <c r="BCC57" s="22"/>
      <c r="BCD57" s="22"/>
      <c r="BCE57" s="22"/>
      <c r="BCF57" s="22"/>
      <c r="BCG57" s="22"/>
      <c r="BCH57" s="22"/>
      <c r="BCI57" s="22"/>
      <c r="BCJ57" s="22"/>
      <c r="BCK57" s="22"/>
      <c r="BCL57" s="22"/>
      <c r="BCM57" s="22"/>
      <c r="BCN57" s="22"/>
      <c r="BCO57" s="22"/>
      <c r="BCP57" s="22"/>
      <c r="BCQ57" s="22"/>
      <c r="BCR57" s="22"/>
      <c r="BCS57" s="22"/>
      <c r="BCT57" s="22"/>
      <c r="BCU57" s="22"/>
      <c r="BCV57" s="22"/>
      <c r="BCW57" s="22"/>
      <c r="BCX57" s="22"/>
      <c r="BCY57" s="22"/>
      <c r="BCZ57" s="22"/>
      <c r="BDA57" s="22"/>
      <c r="BDB57" s="22"/>
      <c r="BDC57" s="22"/>
      <c r="BDD57" s="22"/>
      <c r="BDE57" s="22"/>
      <c r="BDF57" s="22"/>
      <c r="BDG57" s="22"/>
      <c r="BDH57" s="22"/>
      <c r="BDI57" s="22"/>
      <c r="BDJ57" s="22"/>
      <c r="BDK57" s="22"/>
      <c r="BDL57" s="22"/>
      <c r="BDM57" s="22"/>
      <c r="BDN57" s="22"/>
      <c r="BDO57" s="22"/>
      <c r="BDP57" s="22"/>
      <c r="BDQ57" s="22"/>
      <c r="BDR57" s="22"/>
      <c r="BDS57" s="22"/>
      <c r="BDT57" s="22"/>
      <c r="BDU57" s="22"/>
      <c r="BDV57" s="22"/>
      <c r="BDW57" s="22"/>
      <c r="BDX57" s="22"/>
      <c r="BDY57" s="22"/>
      <c r="BDZ57" s="22"/>
      <c r="BEA57" s="22"/>
      <c r="BEB57" s="22"/>
      <c r="BEC57" s="22"/>
      <c r="BED57" s="22"/>
      <c r="BEE57" s="22"/>
      <c r="BEF57" s="22"/>
      <c r="BEG57" s="22"/>
      <c r="BEH57" s="22"/>
      <c r="BEI57" s="22"/>
      <c r="BEJ57" s="22"/>
      <c r="BEK57" s="22"/>
      <c r="BEL57" s="22"/>
      <c r="BEM57" s="22"/>
      <c r="BEN57" s="22"/>
      <c r="BEO57" s="22"/>
      <c r="BEP57" s="22"/>
      <c r="BEQ57" s="22"/>
      <c r="BER57" s="22"/>
      <c r="BES57" s="22"/>
      <c r="BET57" s="22"/>
      <c r="BEU57" s="22"/>
      <c r="BEV57" s="22"/>
      <c r="BEW57" s="22"/>
      <c r="BEX57" s="22"/>
      <c r="BEY57" s="22"/>
      <c r="BEZ57" s="22"/>
      <c r="BFA57" s="22"/>
      <c r="BFB57" s="22"/>
      <c r="BFC57" s="22"/>
      <c r="BFD57" s="22"/>
      <c r="BFE57" s="22"/>
      <c r="BFF57" s="22"/>
      <c r="BFG57" s="22"/>
      <c r="BFH57" s="22"/>
      <c r="BFI57" s="22"/>
      <c r="BFJ57" s="22"/>
      <c r="BFK57" s="22"/>
      <c r="BFL57" s="22"/>
      <c r="BFM57" s="22"/>
      <c r="BFN57" s="22"/>
      <c r="BFO57" s="22"/>
      <c r="BFP57" s="22"/>
      <c r="BFQ57" s="22"/>
      <c r="BFR57" s="22"/>
      <c r="BFS57" s="22"/>
      <c r="BFT57" s="22"/>
      <c r="BFU57" s="22"/>
      <c r="BFV57" s="22"/>
      <c r="BFW57" s="22"/>
      <c r="BFX57" s="22"/>
      <c r="BFY57" s="22"/>
      <c r="BFZ57" s="22"/>
      <c r="BGA57" s="22"/>
      <c r="BGB57" s="22"/>
      <c r="BGC57" s="22"/>
      <c r="BGD57" s="22"/>
      <c r="BGE57" s="22"/>
      <c r="BGF57" s="22"/>
      <c r="BGG57" s="22"/>
      <c r="BGH57" s="22"/>
      <c r="BGI57" s="22"/>
      <c r="BGJ57" s="22"/>
      <c r="BGK57" s="22"/>
      <c r="BGL57" s="22"/>
      <c r="BGM57" s="22"/>
      <c r="BGN57" s="22"/>
      <c r="BGO57" s="22"/>
      <c r="BGP57" s="22"/>
      <c r="BGQ57" s="22"/>
      <c r="BGR57" s="22"/>
      <c r="BGS57" s="22"/>
      <c r="BGT57" s="22"/>
      <c r="BGU57" s="22"/>
      <c r="BGV57" s="22"/>
      <c r="BGW57" s="22"/>
      <c r="BGX57" s="22"/>
      <c r="BGY57" s="22"/>
      <c r="BGZ57" s="22"/>
      <c r="BHA57" s="22"/>
      <c r="BHB57" s="22"/>
      <c r="BHC57" s="22"/>
      <c r="BHD57" s="22"/>
      <c r="BHE57" s="22"/>
      <c r="BHF57" s="22"/>
      <c r="BHG57" s="22"/>
      <c r="BHH57" s="22"/>
      <c r="BHI57" s="22"/>
      <c r="BHJ57" s="22"/>
      <c r="BHK57" s="22"/>
      <c r="BHL57" s="22"/>
      <c r="BHM57" s="22"/>
      <c r="BHN57" s="22"/>
      <c r="BHO57" s="22"/>
      <c r="BHP57" s="22"/>
      <c r="BHQ57" s="22"/>
      <c r="BHR57" s="22"/>
      <c r="BHS57" s="22"/>
      <c r="BHT57" s="22"/>
      <c r="BHU57" s="22"/>
      <c r="BHV57" s="22"/>
      <c r="BHW57" s="22"/>
      <c r="BHX57" s="22"/>
      <c r="BHY57" s="22"/>
      <c r="BHZ57" s="22"/>
      <c r="BIA57" s="22"/>
      <c r="BIB57" s="22"/>
      <c r="BIC57" s="22"/>
      <c r="BID57" s="22"/>
      <c r="BIE57" s="22"/>
      <c r="BIF57" s="22"/>
      <c r="BIG57" s="22"/>
      <c r="BIH57" s="22"/>
      <c r="BII57" s="22"/>
      <c r="BIJ57" s="22"/>
      <c r="BIK57" s="22"/>
      <c r="BIL57" s="22"/>
      <c r="BIM57" s="22"/>
      <c r="BIN57" s="22"/>
      <c r="BIO57" s="22"/>
      <c r="BIP57" s="22"/>
      <c r="BIQ57" s="22"/>
      <c r="BIR57" s="22"/>
      <c r="BIS57" s="22"/>
      <c r="BIT57" s="22"/>
      <c r="BIU57" s="22"/>
      <c r="BIV57" s="22"/>
      <c r="BIW57" s="22"/>
      <c r="BIX57" s="22"/>
      <c r="BIY57" s="22"/>
      <c r="BIZ57" s="22"/>
      <c r="BJA57" s="22"/>
      <c r="BJB57" s="22"/>
      <c r="BJC57" s="22"/>
      <c r="BJD57" s="22"/>
      <c r="BJE57" s="22"/>
      <c r="BJF57" s="22"/>
      <c r="BJG57" s="22"/>
      <c r="BJH57" s="22"/>
      <c r="BJI57" s="22"/>
      <c r="BJJ57" s="22"/>
      <c r="BJK57" s="22"/>
      <c r="BJL57" s="22"/>
      <c r="BJM57" s="22"/>
      <c r="BJN57" s="22"/>
      <c r="BJO57" s="22"/>
      <c r="BJP57" s="22"/>
      <c r="BJQ57" s="22"/>
      <c r="BJR57" s="22"/>
      <c r="BJS57" s="22"/>
      <c r="BJT57" s="22"/>
      <c r="BJU57" s="22"/>
      <c r="BJV57" s="22"/>
      <c r="BJW57" s="22"/>
      <c r="BJX57" s="22"/>
      <c r="BJY57" s="22"/>
      <c r="BJZ57" s="22"/>
      <c r="BKA57" s="22"/>
      <c r="BKB57" s="22"/>
      <c r="BKC57" s="22"/>
      <c r="BKD57" s="22"/>
      <c r="BKE57" s="22"/>
      <c r="BKF57" s="22"/>
      <c r="BKG57" s="22"/>
      <c r="BKH57" s="22"/>
      <c r="BKI57" s="22"/>
      <c r="BKJ57" s="22"/>
      <c r="BKK57" s="22"/>
      <c r="BKL57" s="22"/>
      <c r="BKM57" s="22"/>
      <c r="BKN57" s="22"/>
      <c r="BKO57" s="22"/>
      <c r="BKP57" s="22"/>
      <c r="BKQ57" s="22"/>
      <c r="BKR57" s="22"/>
      <c r="BKS57" s="22"/>
      <c r="BKT57" s="22"/>
      <c r="BKU57" s="22"/>
      <c r="BKV57" s="22"/>
      <c r="BKW57" s="22"/>
      <c r="BKX57" s="22"/>
      <c r="BKY57" s="22"/>
      <c r="BKZ57" s="22"/>
      <c r="BLA57" s="22"/>
      <c r="BLB57" s="22"/>
      <c r="BLC57" s="22"/>
      <c r="BLD57" s="22"/>
      <c r="BLE57" s="22"/>
      <c r="BLF57" s="22"/>
      <c r="BLG57" s="22"/>
      <c r="BLH57" s="22"/>
      <c r="BLI57" s="22"/>
      <c r="BLJ57" s="22"/>
      <c r="BLK57" s="22"/>
      <c r="BLL57" s="22"/>
      <c r="BLM57" s="22"/>
      <c r="BLN57" s="22"/>
      <c r="BLO57" s="22"/>
      <c r="BLP57" s="22"/>
      <c r="BLQ57" s="22"/>
      <c r="BLR57" s="22"/>
      <c r="BLS57" s="22"/>
      <c r="BLT57" s="22"/>
      <c r="BLU57" s="22"/>
      <c r="BLV57" s="22"/>
      <c r="BLW57" s="22"/>
      <c r="BLX57" s="22"/>
      <c r="BLY57" s="22"/>
      <c r="BLZ57" s="22"/>
      <c r="BMA57" s="22"/>
      <c r="BMB57" s="22"/>
      <c r="BMC57" s="22"/>
      <c r="BMD57" s="22"/>
      <c r="BME57" s="22"/>
      <c r="BMF57" s="22"/>
      <c r="BMG57" s="22"/>
      <c r="BMH57" s="22"/>
      <c r="BMI57" s="22"/>
      <c r="BMJ57" s="22"/>
      <c r="BMK57" s="22"/>
      <c r="BML57" s="22"/>
      <c r="BMM57" s="22"/>
      <c r="BMN57" s="22"/>
      <c r="BMO57" s="22"/>
      <c r="BMP57" s="22"/>
      <c r="BMQ57" s="22"/>
      <c r="BMR57" s="22"/>
      <c r="BMS57" s="22"/>
      <c r="BMT57" s="22"/>
      <c r="BMU57" s="22"/>
      <c r="BMV57" s="22"/>
      <c r="BMW57" s="22"/>
      <c r="BMX57" s="22"/>
      <c r="BMY57" s="22"/>
      <c r="BMZ57" s="22"/>
      <c r="BNA57" s="22"/>
      <c r="BNB57" s="22"/>
      <c r="BNC57" s="22"/>
      <c r="BND57" s="22"/>
      <c r="BNE57" s="22"/>
      <c r="BNF57" s="22"/>
      <c r="BNG57" s="22"/>
      <c r="BNH57" s="22"/>
      <c r="BNI57" s="22"/>
      <c r="BNJ57" s="22"/>
      <c r="BNK57" s="22"/>
      <c r="BNL57" s="22"/>
      <c r="BNM57" s="22"/>
      <c r="BNN57" s="22"/>
      <c r="BNO57" s="22"/>
      <c r="BNP57" s="22"/>
      <c r="BNQ57" s="22"/>
      <c r="BNR57" s="22"/>
      <c r="BNS57" s="22"/>
      <c r="BNT57" s="22"/>
      <c r="BNU57" s="22"/>
      <c r="BNV57" s="22"/>
      <c r="BNW57" s="22"/>
      <c r="BNX57" s="22"/>
      <c r="BNY57" s="22"/>
      <c r="BNZ57" s="22"/>
      <c r="BOA57" s="22"/>
      <c r="BOB57" s="22"/>
      <c r="BOC57" s="22"/>
      <c r="BOD57" s="22"/>
      <c r="BOE57" s="22"/>
      <c r="BOF57" s="22"/>
      <c r="BOG57" s="22"/>
      <c r="BOH57" s="22"/>
      <c r="BOI57" s="22"/>
      <c r="BOJ57" s="22"/>
      <c r="BOK57" s="22"/>
      <c r="BOL57" s="22"/>
      <c r="BOM57" s="22"/>
      <c r="BON57" s="22"/>
      <c r="BOO57" s="22"/>
      <c r="BOP57" s="22"/>
      <c r="BOQ57" s="22"/>
      <c r="BOR57" s="22"/>
      <c r="BOS57" s="22"/>
      <c r="BOT57" s="22"/>
      <c r="BOU57" s="22"/>
      <c r="BOV57" s="22"/>
      <c r="BOW57" s="22"/>
      <c r="BOX57" s="22"/>
      <c r="BOY57" s="22"/>
      <c r="BOZ57" s="22"/>
      <c r="BPA57" s="22"/>
      <c r="BPB57" s="22"/>
      <c r="BPC57" s="22"/>
      <c r="BPD57" s="22"/>
      <c r="BPE57" s="22"/>
      <c r="BPF57" s="22"/>
      <c r="BPG57" s="22"/>
      <c r="BPH57" s="22"/>
      <c r="BPI57" s="22"/>
      <c r="BPJ57" s="22"/>
      <c r="BPK57" s="22"/>
      <c r="BPL57" s="22"/>
      <c r="BPM57" s="22"/>
      <c r="BPN57" s="22"/>
      <c r="BPO57" s="22"/>
      <c r="BPP57" s="22"/>
      <c r="BPQ57" s="22"/>
      <c r="BPR57" s="22"/>
      <c r="BPS57" s="22"/>
      <c r="BPT57" s="22"/>
      <c r="BPU57" s="22"/>
      <c r="BPV57" s="22"/>
      <c r="BPW57" s="22"/>
      <c r="BPX57" s="22"/>
      <c r="BPY57" s="22"/>
      <c r="BPZ57" s="22"/>
      <c r="BQA57" s="22"/>
      <c r="BQB57" s="22"/>
      <c r="BQC57" s="22"/>
      <c r="BQD57" s="22"/>
      <c r="BQE57" s="22"/>
      <c r="BQF57" s="22"/>
      <c r="BQG57" s="22"/>
      <c r="BQH57" s="22"/>
      <c r="BQI57" s="22"/>
      <c r="BQJ57" s="22"/>
      <c r="BQK57" s="22"/>
      <c r="BQL57" s="22"/>
      <c r="BQM57" s="22"/>
      <c r="BQN57" s="22"/>
      <c r="BQO57" s="22"/>
      <c r="BQP57" s="22"/>
      <c r="BQQ57" s="22"/>
      <c r="BQR57" s="22"/>
      <c r="BQS57" s="22"/>
      <c r="BQT57" s="22"/>
      <c r="BQU57" s="22"/>
      <c r="BQV57" s="22"/>
      <c r="BQW57" s="22"/>
      <c r="BQX57" s="22"/>
      <c r="BQY57" s="22"/>
      <c r="BQZ57" s="22"/>
      <c r="BRA57" s="22"/>
      <c r="BRB57" s="22"/>
      <c r="BRC57" s="22"/>
      <c r="BRD57" s="22"/>
      <c r="BRE57" s="22"/>
      <c r="BRF57" s="22"/>
      <c r="BRG57" s="22"/>
      <c r="BRH57" s="22"/>
      <c r="BRI57" s="22"/>
      <c r="BRJ57" s="22"/>
      <c r="BRK57" s="22"/>
      <c r="BRL57" s="22"/>
      <c r="BRM57" s="22"/>
      <c r="BRN57" s="22"/>
      <c r="BRO57" s="22"/>
      <c r="BRP57" s="22"/>
      <c r="BRQ57" s="22"/>
      <c r="BRR57" s="22"/>
      <c r="BRS57" s="22"/>
      <c r="BRT57" s="22"/>
      <c r="BRU57" s="22"/>
      <c r="BRV57" s="22"/>
      <c r="BRW57" s="22"/>
      <c r="BRX57" s="22"/>
      <c r="BRY57" s="22"/>
      <c r="BRZ57" s="22"/>
      <c r="BSA57" s="22"/>
      <c r="BSB57" s="22"/>
      <c r="BSC57" s="22"/>
      <c r="BSD57" s="22"/>
      <c r="BSE57" s="22"/>
      <c r="BSF57" s="22"/>
      <c r="BSG57" s="22"/>
      <c r="BSH57" s="22"/>
      <c r="BSI57" s="22"/>
      <c r="BSJ57" s="22"/>
      <c r="BSK57" s="22"/>
      <c r="BSL57" s="22"/>
      <c r="BSM57" s="22"/>
      <c r="BSN57" s="22"/>
      <c r="BSO57" s="22"/>
      <c r="BSP57" s="22"/>
      <c r="BSQ57" s="22"/>
      <c r="BSR57" s="22"/>
      <c r="BSS57" s="22"/>
      <c r="BST57" s="22"/>
      <c r="BSU57" s="22"/>
      <c r="BSV57" s="22"/>
      <c r="BSW57" s="22"/>
      <c r="BSX57" s="22"/>
      <c r="BSY57" s="22"/>
      <c r="BSZ57" s="22"/>
      <c r="BTA57" s="22"/>
      <c r="BTB57" s="22"/>
      <c r="BTC57" s="22"/>
      <c r="BTD57" s="22"/>
      <c r="BTE57" s="22"/>
      <c r="BTF57" s="22"/>
      <c r="BTG57" s="22"/>
      <c r="BTH57" s="22"/>
      <c r="BTI57" s="22"/>
      <c r="BTJ57" s="22"/>
      <c r="BTK57" s="22"/>
      <c r="BTL57" s="22"/>
      <c r="BTM57" s="22"/>
      <c r="BTN57" s="22"/>
      <c r="BTO57" s="22"/>
      <c r="BTP57" s="22"/>
      <c r="BTQ57" s="22"/>
      <c r="BTR57" s="22"/>
      <c r="BTS57" s="22"/>
      <c r="BTT57" s="22"/>
      <c r="BTU57" s="22"/>
      <c r="BTV57" s="22"/>
      <c r="BTW57" s="22"/>
      <c r="BTX57" s="22"/>
      <c r="BTY57" s="22"/>
      <c r="BTZ57" s="22"/>
      <c r="BUA57" s="22"/>
      <c r="BUB57" s="22"/>
      <c r="BUC57" s="22"/>
      <c r="BUD57" s="22"/>
      <c r="BUE57" s="22"/>
      <c r="BUF57" s="22"/>
      <c r="BUG57" s="22"/>
      <c r="BUH57" s="22"/>
      <c r="BUI57" s="22"/>
      <c r="BUJ57" s="22"/>
      <c r="BUK57" s="22"/>
      <c r="BUL57" s="22"/>
      <c r="BUM57" s="22"/>
      <c r="BUN57" s="22"/>
      <c r="BUO57" s="22"/>
      <c r="BUP57" s="22"/>
      <c r="BUQ57" s="22"/>
      <c r="BUR57" s="22"/>
      <c r="BUS57" s="22"/>
      <c r="BUT57" s="22"/>
      <c r="BUU57" s="22"/>
      <c r="BUV57" s="22"/>
      <c r="BUW57" s="22"/>
      <c r="BUX57" s="22"/>
      <c r="BUY57" s="22"/>
      <c r="BUZ57" s="22"/>
      <c r="BVA57" s="22"/>
      <c r="BVB57" s="22"/>
      <c r="BVC57" s="22"/>
      <c r="BVD57" s="22"/>
      <c r="BVE57" s="22"/>
      <c r="BVF57" s="22"/>
      <c r="BVG57" s="22"/>
      <c r="BVH57" s="22"/>
      <c r="BVI57" s="22"/>
      <c r="BVJ57" s="22"/>
      <c r="BVK57" s="22"/>
      <c r="BVL57" s="22"/>
      <c r="BVM57" s="22"/>
      <c r="BVN57" s="22"/>
      <c r="BVO57" s="22"/>
      <c r="BVP57" s="22"/>
      <c r="BVQ57" s="22"/>
      <c r="BVR57" s="22"/>
      <c r="BVS57" s="22"/>
      <c r="BVT57" s="22"/>
      <c r="BVU57" s="22"/>
      <c r="BVV57" s="22"/>
      <c r="BVW57" s="22"/>
      <c r="BVX57" s="22"/>
      <c r="BVY57" s="22"/>
      <c r="BVZ57" s="22"/>
      <c r="BWA57" s="22"/>
      <c r="BWB57" s="22"/>
      <c r="BWC57" s="22"/>
      <c r="BWD57" s="22"/>
      <c r="BWE57" s="22"/>
      <c r="BWF57" s="22"/>
      <c r="BWG57" s="22"/>
      <c r="BWH57" s="22"/>
      <c r="BWI57" s="22"/>
      <c r="BWJ57" s="22"/>
      <c r="BWK57" s="22"/>
      <c r="BWL57" s="22"/>
      <c r="BWM57" s="22"/>
      <c r="BWN57" s="22"/>
      <c r="BWO57" s="22"/>
      <c r="BWP57" s="22"/>
      <c r="BWQ57" s="22"/>
      <c r="BWR57" s="22"/>
      <c r="BWS57" s="22"/>
      <c r="BWT57" s="22"/>
      <c r="BWU57" s="22"/>
      <c r="BWV57" s="22"/>
      <c r="BWW57" s="22"/>
      <c r="BWX57" s="22"/>
      <c r="BWY57" s="22"/>
      <c r="BWZ57" s="22"/>
      <c r="BXA57" s="22"/>
      <c r="BXB57" s="22"/>
      <c r="BXC57" s="22"/>
      <c r="BXD57" s="22"/>
      <c r="BXE57" s="22"/>
      <c r="BXF57" s="22"/>
      <c r="BXG57" s="22"/>
      <c r="BXH57" s="22"/>
      <c r="BXI57" s="22"/>
      <c r="BXJ57" s="22"/>
      <c r="BXK57" s="22"/>
      <c r="BXL57" s="22"/>
      <c r="BXM57" s="22"/>
      <c r="BXN57" s="22"/>
      <c r="BXO57" s="22"/>
      <c r="BXP57" s="22"/>
      <c r="BXQ57" s="22"/>
      <c r="BXR57" s="22"/>
      <c r="BXS57" s="22"/>
      <c r="BXT57" s="22"/>
      <c r="BXU57" s="22"/>
      <c r="BXV57" s="22"/>
      <c r="BXW57" s="22"/>
      <c r="BXX57" s="22"/>
      <c r="BXY57" s="22"/>
      <c r="BXZ57" s="22"/>
      <c r="BYA57" s="22"/>
      <c r="BYB57" s="22"/>
      <c r="BYC57" s="22"/>
      <c r="BYD57" s="22"/>
      <c r="BYE57" s="22"/>
      <c r="BYF57" s="22"/>
      <c r="BYG57" s="22"/>
      <c r="BYH57" s="22"/>
      <c r="BYI57" s="22"/>
      <c r="BYJ57" s="22"/>
      <c r="BYK57" s="22"/>
      <c r="BYL57" s="22"/>
      <c r="BYM57" s="22"/>
      <c r="BYN57" s="22"/>
      <c r="BYO57" s="22"/>
      <c r="BYP57" s="22"/>
      <c r="BYQ57" s="22"/>
      <c r="BYR57" s="22"/>
      <c r="BYS57" s="22"/>
      <c r="BYT57" s="22"/>
      <c r="BYU57" s="22"/>
      <c r="BYV57" s="22"/>
      <c r="BYW57" s="22"/>
      <c r="BYX57" s="22"/>
      <c r="BYY57" s="22"/>
      <c r="BYZ57" s="22"/>
      <c r="BZA57" s="22"/>
      <c r="BZB57" s="22"/>
      <c r="BZC57" s="22"/>
      <c r="BZD57" s="22"/>
      <c r="BZE57" s="22"/>
      <c r="BZF57" s="22"/>
      <c r="BZG57" s="22"/>
      <c r="BZH57" s="22"/>
      <c r="BZI57" s="22"/>
      <c r="BZJ57" s="22"/>
      <c r="BZK57" s="22"/>
      <c r="BZL57" s="22"/>
      <c r="BZM57" s="22"/>
      <c r="BZN57" s="22"/>
      <c r="BZO57" s="22"/>
      <c r="BZP57" s="22"/>
      <c r="BZQ57" s="22"/>
      <c r="BZR57" s="22"/>
      <c r="BZS57" s="22"/>
      <c r="BZT57" s="22"/>
      <c r="BZU57" s="22"/>
      <c r="BZV57" s="22"/>
      <c r="BZW57" s="22"/>
      <c r="BZX57" s="22"/>
      <c r="BZY57" s="22"/>
      <c r="BZZ57" s="22"/>
      <c r="CAA57" s="22"/>
      <c r="CAB57" s="22"/>
      <c r="CAC57" s="22"/>
      <c r="CAD57" s="22"/>
      <c r="CAE57" s="22"/>
      <c r="CAF57" s="22"/>
      <c r="CAG57" s="22"/>
      <c r="CAH57" s="22"/>
      <c r="CAI57" s="22"/>
      <c r="CAJ57" s="22"/>
      <c r="CAK57" s="22"/>
      <c r="CAL57" s="22"/>
      <c r="CAM57" s="22"/>
      <c r="CAN57" s="22"/>
      <c r="CAO57" s="22"/>
      <c r="CAP57" s="22"/>
      <c r="CAQ57" s="22"/>
      <c r="CAR57" s="22"/>
      <c r="CAS57" s="22"/>
      <c r="CAT57" s="22"/>
      <c r="CAU57" s="22"/>
      <c r="CAV57" s="22"/>
      <c r="CAW57" s="22"/>
      <c r="CAX57" s="22"/>
      <c r="CAY57" s="22"/>
      <c r="CAZ57" s="22"/>
      <c r="CBA57" s="22"/>
      <c r="CBB57" s="22"/>
      <c r="CBC57" s="22"/>
      <c r="CBD57" s="22"/>
      <c r="CBE57" s="22"/>
      <c r="CBF57" s="22"/>
      <c r="CBG57" s="22"/>
      <c r="CBH57" s="22"/>
      <c r="CBI57" s="22"/>
      <c r="CBJ57" s="22"/>
      <c r="CBK57" s="22"/>
      <c r="CBL57" s="22"/>
      <c r="CBM57" s="22"/>
      <c r="CBN57" s="22"/>
      <c r="CBO57" s="22"/>
      <c r="CBP57" s="22"/>
      <c r="CBQ57" s="22"/>
      <c r="CBR57" s="22"/>
      <c r="CBS57" s="22"/>
      <c r="CBT57" s="22"/>
      <c r="CBU57" s="22"/>
      <c r="CBV57" s="22"/>
      <c r="CBW57" s="22"/>
      <c r="CBX57" s="22"/>
      <c r="CBY57" s="22"/>
      <c r="CBZ57" s="22"/>
      <c r="CCA57" s="22"/>
      <c r="CCB57" s="22"/>
      <c r="CCC57" s="22"/>
      <c r="CCD57" s="22"/>
      <c r="CCE57" s="22"/>
      <c r="CCF57" s="22"/>
      <c r="CCG57" s="22"/>
      <c r="CCH57" s="22"/>
      <c r="CCI57" s="22"/>
      <c r="CCJ57" s="22"/>
      <c r="CCK57" s="22"/>
      <c r="CCL57" s="22"/>
      <c r="CCM57" s="22"/>
      <c r="CCN57" s="22"/>
      <c r="CCO57" s="22"/>
      <c r="CCP57" s="22"/>
      <c r="CCQ57" s="22"/>
      <c r="CCR57" s="22"/>
      <c r="CCS57" s="22"/>
      <c r="CCT57" s="22"/>
      <c r="CCU57" s="22"/>
      <c r="CCV57" s="22"/>
      <c r="CCW57" s="22"/>
      <c r="CCX57" s="22"/>
      <c r="CCY57" s="22"/>
      <c r="CCZ57" s="22"/>
      <c r="CDA57" s="22"/>
      <c r="CDB57" s="22"/>
      <c r="CDC57" s="22"/>
      <c r="CDD57" s="22"/>
      <c r="CDE57" s="22"/>
      <c r="CDF57" s="22"/>
      <c r="CDG57" s="22"/>
      <c r="CDH57" s="22"/>
      <c r="CDI57" s="22"/>
      <c r="CDJ57" s="22"/>
      <c r="CDK57" s="22"/>
      <c r="CDL57" s="22"/>
      <c r="CDM57" s="22"/>
      <c r="CDN57" s="22"/>
      <c r="CDO57" s="22"/>
      <c r="CDP57" s="22"/>
      <c r="CDQ57" s="22"/>
      <c r="CDR57" s="22"/>
      <c r="CDS57" s="22"/>
      <c r="CDT57" s="22"/>
      <c r="CDU57" s="22"/>
      <c r="CDV57" s="22"/>
      <c r="CDW57" s="22"/>
      <c r="CDX57" s="22"/>
      <c r="CDY57" s="22"/>
      <c r="CDZ57" s="22"/>
      <c r="CEA57" s="22"/>
      <c r="CEB57" s="22"/>
      <c r="CEC57" s="22"/>
      <c r="CED57" s="22"/>
      <c r="CEE57" s="22"/>
      <c r="CEF57" s="22"/>
      <c r="CEG57" s="22"/>
      <c r="CEH57" s="22"/>
      <c r="CEI57" s="22"/>
      <c r="CEJ57" s="22"/>
      <c r="CEK57" s="22"/>
      <c r="CEL57" s="22"/>
      <c r="CEM57" s="22"/>
      <c r="CEN57" s="22"/>
      <c r="CEO57" s="22"/>
      <c r="CEP57" s="22"/>
      <c r="CEQ57" s="22"/>
      <c r="CER57" s="22"/>
      <c r="CES57" s="22"/>
      <c r="CET57" s="22"/>
      <c r="CEU57" s="22"/>
      <c r="CEV57" s="22"/>
      <c r="CEW57" s="22"/>
      <c r="CEX57" s="22"/>
      <c r="CEY57" s="22"/>
      <c r="CEZ57" s="22"/>
      <c r="CFA57" s="22"/>
      <c r="CFB57" s="22"/>
      <c r="CFC57" s="22"/>
      <c r="CFD57" s="22"/>
      <c r="CFE57" s="22"/>
      <c r="CFF57" s="22"/>
      <c r="CFG57" s="22"/>
      <c r="CFH57" s="22"/>
      <c r="CFI57" s="22"/>
      <c r="CFJ57" s="22"/>
      <c r="CFK57" s="22"/>
      <c r="CFL57" s="22"/>
      <c r="CFM57" s="22"/>
      <c r="CFN57" s="22"/>
      <c r="CFO57" s="22"/>
      <c r="CFP57" s="22"/>
      <c r="CFQ57" s="22"/>
      <c r="CFR57" s="22"/>
      <c r="CFS57" s="22"/>
      <c r="CFT57" s="22"/>
      <c r="CFU57" s="22"/>
      <c r="CFV57" s="22"/>
      <c r="CFW57" s="22"/>
      <c r="CFX57" s="22"/>
      <c r="CFY57" s="22"/>
      <c r="CFZ57" s="22"/>
      <c r="CGA57" s="22"/>
      <c r="CGB57" s="22"/>
      <c r="CGC57" s="22"/>
      <c r="CGD57" s="22"/>
      <c r="CGE57" s="22"/>
      <c r="CGF57" s="22"/>
      <c r="CGG57" s="22"/>
      <c r="CGH57" s="22"/>
      <c r="CGI57" s="22"/>
      <c r="CGJ57" s="22"/>
      <c r="CGK57" s="22"/>
      <c r="CGL57" s="22"/>
      <c r="CGM57" s="22"/>
      <c r="CGN57" s="22"/>
      <c r="CGO57" s="22"/>
      <c r="CGP57" s="22"/>
      <c r="CGQ57" s="22"/>
      <c r="CGR57" s="22"/>
      <c r="CGS57" s="22"/>
      <c r="CGT57" s="22"/>
      <c r="CGU57" s="22"/>
      <c r="CGV57" s="22"/>
      <c r="CGW57" s="22"/>
      <c r="CGX57" s="22"/>
      <c r="CGY57" s="22"/>
      <c r="CGZ57" s="22"/>
      <c r="CHA57" s="22"/>
      <c r="CHB57" s="22"/>
      <c r="CHC57" s="22"/>
      <c r="CHD57" s="22"/>
      <c r="CHE57" s="22"/>
      <c r="CHF57" s="22"/>
      <c r="CHG57" s="22"/>
      <c r="CHH57" s="22"/>
      <c r="CHI57" s="22"/>
      <c r="CHJ57" s="22"/>
      <c r="CHK57" s="22"/>
      <c r="CHL57" s="22"/>
      <c r="CHM57" s="22"/>
      <c r="CHN57" s="22"/>
      <c r="CHO57" s="22"/>
      <c r="CHP57" s="22"/>
      <c r="CHQ57" s="22"/>
      <c r="CHR57" s="22"/>
      <c r="CHS57" s="22"/>
      <c r="CHT57" s="22"/>
      <c r="CHU57" s="22"/>
      <c r="CHV57" s="22"/>
      <c r="CHW57" s="22"/>
      <c r="CHX57" s="22"/>
      <c r="CHY57" s="22"/>
      <c r="CHZ57" s="22"/>
      <c r="CIA57" s="22"/>
      <c r="CIB57" s="22"/>
      <c r="CIC57" s="22"/>
      <c r="CID57" s="22"/>
      <c r="CIE57" s="22"/>
      <c r="CIF57" s="22"/>
      <c r="CIG57" s="22"/>
      <c r="CIH57" s="22"/>
      <c r="CII57" s="22"/>
      <c r="CIJ57" s="22"/>
      <c r="CIK57" s="22"/>
      <c r="CIL57" s="22"/>
      <c r="CIM57" s="22"/>
      <c r="CIN57" s="22"/>
      <c r="CIO57" s="22"/>
      <c r="CIP57" s="22"/>
      <c r="CIQ57" s="22"/>
      <c r="CIR57" s="22"/>
      <c r="CIS57" s="22"/>
      <c r="CIT57" s="22"/>
      <c r="CIU57" s="22"/>
      <c r="CIV57" s="22"/>
      <c r="CIW57" s="22"/>
      <c r="CIX57" s="22"/>
      <c r="CIY57" s="22"/>
      <c r="CIZ57" s="22"/>
      <c r="CJA57" s="22"/>
      <c r="CJB57" s="22"/>
      <c r="CJC57" s="22"/>
      <c r="CJD57" s="22"/>
      <c r="CJE57" s="22"/>
      <c r="CJF57" s="22"/>
      <c r="CJG57" s="22"/>
      <c r="CJH57" s="22"/>
      <c r="CJI57" s="22"/>
      <c r="CJJ57" s="22"/>
      <c r="CJK57" s="22"/>
      <c r="CJL57" s="22"/>
      <c r="CJM57" s="22"/>
      <c r="CJN57" s="22"/>
      <c r="CJO57" s="22"/>
      <c r="CJP57" s="22"/>
      <c r="CJQ57" s="22"/>
      <c r="CJR57" s="22"/>
      <c r="CJS57" s="22"/>
      <c r="CJT57" s="22"/>
      <c r="CJU57" s="22"/>
      <c r="CJV57" s="22"/>
      <c r="CJW57" s="22"/>
      <c r="CJX57" s="22"/>
      <c r="CJY57" s="22"/>
      <c r="CJZ57" s="22"/>
      <c r="CKA57" s="22"/>
      <c r="CKB57" s="22"/>
      <c r="CKC57" s="22"/>
      <c r="CKD57" s="22"/>
      <c r="CKE57" s="22"/>
      <c r="CKF57" s="22"/>
      <c r="CKG57" s="22"/>
      <c r="CKH57" s="22"/>
      <c r="CKI57" s="22"/>
      <c r="CKJ57" s="22"/>
      <c r="CKK57" s="22"/>
      <c r="CKL57" s="22"/>
      <c r="CKM57" s="22"/>
      <c r="CKN57" s="22"/>
      <c r="CKO57" s="22"/>
      <c r="CKP57" s="22"/>
      <c r="CKQ57" s="22"/>
      <c r="CKR57" s="22"/>
      <c r="CKS57" s="22"/>
      <c r="CKT57" s="22"/>
      <c r="CKU57" s="22"/>
      <c r="CKV57" s="22"/>
      <c r="CKW57" s="22"/>
      <c r="CKX57" s="22"/>
      <c r="CKY57" s="22"/>
      <c r="CKZ57" s="22"/>
      <c r="CLA57" s="22"/>
      <c r="CLB57" s="22"/>
      <c r="CLC57" s="22"/>
      <c r="CLD57" s="22"/>
      <c r="CLE57" s="22"/>
      <c r="CLF57" s="22"/>
      <c r="CLG57" s="22"/>
      <c r="CLH57" s="22"/>
      <c r="CLI57" s="22"/>
      <c r="CLJ57" s="22"/>
      <c r="CLK57" s="22"/>
      <c r="CLL57" s="22"/>
      <c r="CLM57" s="22"/>
      <c r="CLN57" s="22"/>
      <c r="CLO57" s="22"/>
      <c r="CLP57" s="22"/>
      <c r="CLQ57" s="22"/>
      <c r="CLR57" s="22"/>
      <c r="CLS57" s="22"/>
      <c r="CLT57" s="22"/>
      <c r="CLU57" s="22"/>
      <c r="CLV57" s="22"/>
      <c r="CLW57" s="22"/>
      <c r="CLX57" s="22"/>
      <c r="CLY57" s="22"/>
      <c r="CLZ57" s="22"/>
      <c r="CMA57" s="22"/>
      <c r="CMB57" s="22"/>
      <c r="CMC57" s="22"/>
      <c r="CMD57" s="22"/>
      <c r="CME57" s="22"/>
      <c r="CMF57" s="22"/>
      <c r="CMG57" s="22"/>
      <c r="CMH57" s="22"/>
      <c r="CMI57" s="22"/>
      <c r="CMJ57" s="22"/>
      <c r="CMK57" s="22"/>
      <c r="CML57" s="22"/>
      <c r="CMM57" s="22"/>
      <c r="CMN57" s="22"/>
      <c r="CMO57" s="22"/>
      <c r="CMP57" s="22"/>
      <c r="CMQ57" s="22"/>
      <c r="CMR57" s="22"/>
      <c r="CMS57" s="22"/>
      <c r="CMT57" s="22"/>
      <c r="CMU57" s="22"/>
      <c r="CMV57" s="22"/>
      <c r="CMW57" s="22"/>
      <c r="CMX57" s="22"/>
      <c r="CMY57" s="22"/>
      <c r="CMZ57" s="22"/>
      <c r="CNA57" s="22"/>
      <c r="CNB57" s="22"/>
      <c r="CNC57" s="22"/>
      <c r="CND57" s="22"/>
      <c r="CNE57" s="22"/>
      <c r="CNF57" s="22"/>
      <c r="CNG57" s="22"/>
      <c r="CNH57" s="22"/>
      <c r="CNI57" s="22"/>
      <c r="CNJ57" s="22"/>
      <c r="CNK57" s="22"/>
      <c r="CNL57" s="22"/>
      <c r="CNM57" s="22"/>
      <c r="CNN57" s="22"/>
      <c r="CNO57" s="22"/>
      <c r="CNP57" s="22"/>
      <c r="CNQ57" s="22"/>
      <c r="CNR57" s="22"/>
      <c r="CNS57" s="22"/>
      <c r="CNT57" s="22"/>
      <c r="CNU57" s="22"/>
      <c r="CNV57" s="22"/>
      <c r="CNW57" s="22"/>
      <c r="CNX57" s="22"/>
      <c r="CNY57" s="22"/>
      <c r="CNZ57" s="22"/>
      <c r="COA57" s="22"/>
      <c r="COB57" s="22"/>
      <c r="COC57" s="22"/>
      <c r="COD57" s="22"/>
      <c r="COE57" s="22"/>
      <c r="COF57" s="22"/>
      <c r="COG57" s="22"/>
      <c r="COH57" s="22"/>
      <c r="COI57" s="22"/>
      <c r="COJ57" s="22"/>
      <c r="COK57" s="22"/>
      <c r="COL57" s="22"/>
      <c r="COM57" s="22"/>
      <c r="CON57" s="22"/>
      <c r="COO57" s="22"/>
      <c r="COP57" s="22"/>
      <c r="COQ57" s="22"/>
      <c r="COR57" s="22"/>
      <c r="COS57" s="22"/>
      <c r="COT57" s="22"/>
      <c r="COU57" s="22"/>
      <c r="COV57" s="22"/>
      <c r="COW57" s="22"/>
      <c r="COX57" s="22"/>
      <c r="COY57" s="22"/>
      <c r="COZ57" s="22"/>
      <c r="CPA57" s="22"/>
      <c r="CPB57" s="22"/>
      <c r="CPC57" s="22"/>
      <c r="CPD57" s="22"/>
      <c r="CPE57" s="22"/>
      <c r="CPF57" s="22"/>
      <c r="CPG57" s="22"/>
      <c r="CPH57" s="22"/>
      <c r="CPI57" s="22"/>
      <c r="CPJ57" s="22"/>
      <c r="CPK57" s="22"/>
      <c r="CPL57" s="22"/>
      <c r="CPM57" s="22"/>
      <c r="CPN57" s="22"/>
      <c r="CPO57" s="22"/>
      <c r="CPP57" s="22"/>
      <c r="CPQ57" s="22"/>
      <c r="CPR57" s="22"/>
      <c r="CPS57" s="22"/>
      <c r="CPT57" s="22"/>
      <c r="CPU57" s="22"/>
      <c r="CPV57" s="22"/>
      <c r="CPW57" s="22"/>
      <c r="CPX57" s="22"/>
      <c r="CPY57" s="22"/>
      <c r="CPZ57" s="22"/>
      <c r="CQA57" s="22"/>
      <c r="CQB57" s="22"/>
      <c r="CQC57" s="22"/>
      <c r="CQD57" s="22"/>
      <c r="CQE57" s="22"/>
      <c r="CQF57" s="22"/>
      <c r="CQG57" s="22"/>
      <c r="CQH57" s="22"/>
      <c r="CQI57" s="22"/>
      <c r="CQJ57" s="22"/>
      <c r="CQK57" s="22"/>
      <c r="CQL57" s="22"/>
      <c r="CQM57" s="22"/>
      <c r="CQN57" s="22"/>
      <c r="CQO57" s="22"/>
      <c r="CQP57" s="22"/>
      <c r="CQQ57" s="22"/>
      <c r="CQR57" s="22"/>
      <c r="CQS57" s="22"/>
      <c r="CQT57" s="22"/>
      <c r="CQU57" s="22"/>
      <c r="CQV57" s="22"/>
      <c r="CQW57" s="22"/>
      <c r="CQX57" s="22"/>
      <c r="CQY57" s="22"/>
      <c r="CQZ57" s="22"/>
      <c r="CRA57" s="22"/>
      <c r="CRB57" s="22"/>
      <c r="CRC57" s="22"/>
      <c r="CRD57" s="22"/>
      <c r="CRE57" s="22"/>
      <c r="CRF57" s="22"/>
      <c r="CRG57" s="22"/>
      <c r="CRH57" s="22"/>
      <c r="CRI57" s="22"/>
      <c r="CRJ57" s="22"/>
      <c r="CRK57" s="22"/>
      <c r="CRL57" s="22"/>
      <c r="CRM57" s="22"/>
      <c r="CRN57" s="22"/>
      <c r="CRO57" s="22"/>
      <c r="CRP57" s="22"/>
      <c r="CRQ57" s="22"/>
      <c r="CRR57" s="22"/>
      <c r="CRS57" s="22"/>
      <c r="CRT57" s="22"/>
      <c r="CRU57" s="22"/>
      <c r="CRV57" s="22"/>
      <c r="CRW57" s="22"/>
      <c r="CRX57" s="22"/>
      <c r="CRY57" s="22"/>
      <c r="CRZ57" s="22"/>
      <c r="CSA57" s="22"/>
      <c r="CSB57" s="22"/>
      <c r="CSC57" s="22"/>
      <c r="CSD57" s="22"/>
      <c r="CSE57" s="22"/>
      <c r="CSF57" s="22"/>
      <c r="CSG57" s="22"/>
      <c r="CSH57" s="22"/>
      <c r="CSI57" s="22"/>
      <c r="CSJ57" s="22"/>
      <c r="CSK57" s="22"/>
      <c r="CSL57" s="22"/>
      <c r="CSM57" s="22"/>
      <c r="CSN57" s="22"/>
      <c r="CSO57" s="22"/>
      <c r="CSP57" s="22"/>
      <c r="CSQ57" s="22"/>
      <c r="CSR57" s="22"/>
      <c r="CSS57" s="22"/>
      <c r="CST57" s="22"/>
      <c r="CSU57" s="22"/>
      <c r="CSV57" s="22"/>
      <c r="CSW57" s="22"/>
      <c r="CSX57" s="22"/>
      <c r="CSY57" s="22"/>
      <c r="CSZ57" s="22"/>
      <c r="CTA57" s="22"/>
      <c r="CTB57" s="22"/>
      <c r="CTC57" s="22"/>
      <c r="CTD57" s="22"/>
      <c r="CTE57" s="22"/>
      <c r="CTF57" s="22"/>
      <c r="CTG57" s="22"/>
      <c r="CTH57" s="22"/>
      <c r="CTI57" s="22"/>
      <c r="CTJ57" s="22"/>
      <c r="CTK57" s="22"/>
      <c r="CTL57" s="22"/>
      <c r="CTM57" s="22"/>
      <c r="CTN57" s="22"/>
      <c r="CTO57" s="22"/>
      <c r="CTP57" s="22"/>
      <c r="CTQ57" s="22"/>
      <c r="CTR57" s="22"/>
      <c r="CTS57" s="22"/>
      <c r="CTT57" s="22"/>
      <c r="CTU57" s="22"/>
      <c r="CTV57" s="22"/>
      <c r="CTW57" s="22"/>
      <c r="CTX57" s="22"/>
      <c r="CTY57" s="22"/>
      <c r="CTZ57" s="22"/>
      <c r="CUA57" s="22"/>
      <c r="CUB57" s="22"/>
      <c r="CUC57" s="22"/>
      <c r="CUD57" s="22"/>
      <c r="CUE57" s="22"/>
      <c r="CUF57" s="22"/>
      <c r="CUG57" s="22"/>
      <c r="CUH57" s="22"/>
      <c r="CUI57" s="22"/>
      <c r="CUJ57" s="22"/>
      <c r="CUK57" s="22"/>
      <c r="CUL57" s="22"/>
      <c r="CUM57" s="22"/>
      <c r="CUN57" s="22"/>
      <c r="CUO57" s="22"/>
      <c r="CUP57" s="22"/>
      <c r="CUQ57" s="22"/>
      <c r="CUR57" s="22"/>
      <c r="CUS57" s="22"/>
      <c r="CUT57" s="22"/>
      <c r="CUU57" s="22"/>
      <c r="CUV57" s="22"/>
      <c r="CUW57" s="22"/>
      <c r="CUX57" s="22"/>
      <c r="CUY57" s="22"/>
      <c r="CUZ57" s="22"/>
      <c r="CVA57" s="22"/>
      <c r="CVB57" s="22"/>
      <c r="CVC57" s="22"/>
      <c r="CVD57" s="22"/>
      <c r="CVE57" s="22"/>
      <c r="CVF57" s="22"/>
      <c r="CVG57" s="22"/>
      <c r="CVH57" s="22"/>
      <c r="CVI57" s="22"/>
      <c r="CVJ57" s="22"/>
      <c r="CVK57" s="22"/>
      <c r="CVL57" s="22"/>
      <c r="CVM57" s="22"/>
      <c r="CVN57" s="22"/>
      <c r="CVO57" s="22"/>
      <c r="CVP57" s="22"/>
      <c r="CVQ57" s="22"/>
      <c r="CVR57" s="22"/>
      <c r="CVS57" s="22"/>
      <c r="CVT57" s="22"/>
      <c r="CVU57" s="22"/>
      <c r="CVV57" s="22"/>
      <c r="CVW57" s="22"/>
      <c r="CVX57" s="22"/>
      <c r="CVY57" s="22"/>
      <c r="CVZ57" s="22"/>
      <c r="CWA57" s="22"/>
      <c r="CWB57" s="22"/>
      <c r="CWC57" s="22"/>
      <c r="CWD57" s="22"/>
      <c r="CWE57" s="22"/>
      <c r="CWF57" s="22"/>
      <c r="CWG57" s="22"/>
      <c r="CWH57" s="22"/>
      <c r="CWI57" s="22"/>
      <c r="CWJ57" s="22"/>
      <c r="CWK57" s="22"/>
      <c r="CWL57" s="22"/>
      <c r="CWM57" s="22"/>
      <c r="CWN57" s="22"/>
      <c r="CWO57" s="22"/>
      <c r="CWP57" s="22"/>
      <c r="CWQ57" s="22"/>
      <c r="CWR57" s="22"/>
      <c r="CWS57" s="22"/>
      <c r="CWT57" s="22"/>
      <c r="CWU57" s="22"/>
      <c r="CWV57" s="22"/>
      <c r="CWW57" s="22"/>
      <c r="CWX57" s="22"/>
      <c r="CWY57" s="22"/>
      <c r="CWZ57" s="22"/>
      <c r="CXA57" s="22"/>
      <c r="CXB57" s="22"/>
      <c r="CXC57" s="22"/>
      <c r="CXD57" s="22"/>
      <c r="CXE57" s="22"/>
      <c r="CXF57" s="22"/>
      <c r="CXG57" s="22"/>
      <c r="CXH57" s="22"/>
      <c r="CXI57" s="22"/>
      <c r="CXJ57" s="22"/>
      <c r="CXK57" s="22"/>
      <c r="CXL57" s="22"/>
      <c r="CXM57" s="22"/>
      <c r="CXN57" s="22"/>
      <c r="CXO57" s="22"/>
      <c r="CXP57" s="22"/>
      <c r="CXQ57" s="22"/>
      <c r="CXR57" s="22"/>
      <c r="CXS57" s="22"/>
      <c r="CXT57" s="22"/>
      <c r="CXU57" s="22"/>
      <c r="CXV57" s="22"/>
      <c r="CXW57" s="22"/>
      <c r="CXX57" s="22"/>
      <c r="CXY57" s="22"/>
      <c r="CXZ57" s="22"/>
      <c r="CYA57" s="22"/>
      <c r="CYB57" s="22"/>
      <c r="CYC57" s="22"/>
      <c r="CYD57" s="22"/>
      <c r="CYE57" s="22"/>
      <c r="CYF57" s="22"/>
      <c r="CYG57" s="22"/>
      <c r="CYH57" s="22"/>
      <c r="CYI57" s="22"/>
      <c r="CYJ57" s="22"/>
      <c r="CYK57" s="22"/>
      <c r="CYL57" s="22"/>
      <c r="CYM57" s="22"/>
      <c r="CYN57" s="22"/>
      <c r="CYO57" s="22"/>
      <c r="CYP57" s="22"/>
      <c r="CYQ57" s="22"/>
      <c r="CYR57" s="22"/>
      <c r="CYS57" s="22"/>
      <c r="CYT57" s="22"/>
      <c r="CYU57" s="22"/>
      <c r="CYV57" s="22"/>
      <c r="CYW57" s="22"/>
      <c r="CYX57" s="22"/>
      <c r="CYY57" s="22"/>
      <c r="CYZ57" s="22"/>
      <c r="CZA57" s="22"/>
      <c r="CZB57" s="22"/>
      <c r="CZC57" s="22"/>
      <c r="CZD57" s="22"/>
      <c r="CZE57" s="22"/>
      <c r="CZF57" s="22"/>
      <c r="CZG57" s="22"/>
      <c r="CZH57" s="22"/>
      <c r="CZI57" s="22"/>
      <c r="CZJ57" s="22"/>
      <c r="CZK57" s="22"/>
      <c r="CZL57" s="22"/>
      <c r="CZM57" s="22"/>
      <c r="CZN57" s="22"/>
      <c r="CZO57" s="22"/>
      <c r="CZP57" s="22"/>
      <c r="CZQ57" s="22"/>
      <c r="CZR57" s="22"/>
      <c r="CZS57" s="22"/>
      <c r="CZT57" s="22"/>
      <c r="CZU57" s="22"/>
      <c r="CZV57" s="22"/>
      <c r="CZW57" s="22"/>
      <c r="CZX57" s="22"/>
      <c r="CZY57" s="22"/>
      <c r="CZZ57" s="22"/>
      <c r="DAA57" s="22"/>
      <c r="DAB57" s="22"/>
      <c r="DAC57" s="22"/>
      <c r="DAD57" s="22"/>
      <c r="DAE57" s="22"/>
      <c r="DAF57" s="22"/>
      <c r="DAG57" s="22"/>
      <c r="DAH57" s="22"/>
      <c r="DAI57" s="22"/>
      <c r="DAJ57" s="22"/>
      <c r="DAK57" s="22"/>
      <c r="DAL57" s="22"/>
      <c r="DAM57" s="22"/>
      <c r="DAN57" s="22"/>
      <c r="DAO57" s="22"/>
      <c r="DAP57" s="22"/>
      <c r="DAQ57" s="22"/>
      <c r="DAR57" s="22"/>
      <c r="DAS57" s="22"/>
      <c r="DAT57" s="22"/>
      <c r="DAU57" s="22"/>
      <c r="DAV57" s="22"/>
      <c r="DAW57" s="22"/>
      <c r="DAX57" s="22"/>
      <c r="DAY57" s="22"/>
      <c r="DAZ57" s="22"/>
      <c r="DBA57" s="22"/>
      <c r="DBB57" s="22"/>
      <c r="DBC57" s="22"/>
      <c r="DBD57" s="22"/>
      <c r="DBE57" s="22"/>
      <c r="DBF57" s="22"/>
      <c r="DBG57" s="22"/>
      <c r="DBH57" s="22"/>
      <c r="DBI57" s="22"/>
      <c r="DBJ57" s="22"/>
      <c r="DBK57" s="22"/>
      <c r="DBL57" s="22"/>
      <c r="DBM57" s="22"/>
      <c r="DBN57" s="22"/>
      <c r="DBO57" s="22"/>
      <c r="DBP57" s="22"/>
      <c r="DBQ57" s="22"/>
      <c r="DBR57" s="22"/>
      <c r="DBS57" s="22"/>
      <c r="DBT57" s="22"/>
      <c r="DBU57" s="22"/>
      <c r="DBV57" s="22"/>
      <c r="DBW57" s="22"/>
      <c r="DBX57" s="22"/>
      <c r="DBY57" s="22"/>
      <c r="DBZ57" s="22"/>
      <c r="DCA57" s="22"/>
      <c r="DCB57" s="22"/>
      <c r="DCC57" s="22"/>
      <c r="DCD57" s="22"/>
      <c r="DCE57" s="22"/>
      <c r="DCF57" s="22"/>
      <c r="DCG57" s="22"/>
      <c r="DCH57" s="22"/>
      <c r="DCI57" s="22"/>
      <c r="DCJ57" s="22"/>
      <c r="DCK57" s="22"/>
      <c r="DCL57" s="22"/>
      <c r="DCM57" s="22"/>
      <c r="DCN57" s="22"/>
      <c r="DCO57" s="22"/>
      <c r="DCP57" s="22"/>
      <c r="DCQ57" s="22"/>
      <c r="DCR57" s="22"/>
      <c r="DCS57" s="22"/>
      <c r="DCT57" s="22"/>
      <c r="DCU57" s="22"/>
      <c r="DCV57" s="22"/>
      <c r="DCW57" s="22"/>
      <c r="DCX57" s="22"/>
      <c r="DCY57" s="22"/>
      <c r="DCZ57" s="22"/>
      <c r="DDA57" s="22"/>
      <c r="DDB57" s="22"/>
      <c r="DDC57" s="22"/>
      <c r="DDD57" s="22"/>
      <c r="DDE57" s="22"/>
      <c r="DDF57" s="22"/>
      <c r="DDG57" s="22"/>
      <c r="DDH57" s="22"/>
      <c r="DDI57" s="22"/>
      <c r="DDJ57" s="22"/>
      <c r="DDK57" s="22"/>
      <c r="DDL57" s="22"/>
      <c r="DDM57" s="22"/>
      <c r="DDN57" s="22"/>
      <c r="DDO57" s="22"/>
      <c r="DDP57" s="22"/>
      <c r="DDQ57" s="22"/>
      <c r="DDR57" s="22"/>
      <c r="DDS57" s="22"/>
      <c r="DDT57" s="22"/>
      <c r="DDU57" s="22"/>
      <c r="DDV57" s="22"/>
      <c r="DDW57" s="22"/>
      <c r="DDX57" s="22"/>
      <c r="DDY57" s="22"/>
      <c r="DDZ57" s="22"/>
      <c r="DEA57" s="22"/>
      <c r="DEB57" s="22"/>
      <c r="DEC57" s="22"/>
      <c r="DED57" s="22"/>
      <c r="DEE57" s="22"/>
      <c r="DEF57" s="22"/>
      <c r="DEG57" s="22"/>
      <c r="DEH57" s="22"/>
      <c r="DEI57" s="22"/>
      <c r="DEJ57" s="22"/>
      <c r="DEK57" s="22"/>
      <c r="DEL57" s="22"/>
      <c r="DEM57" s="22"/>
      <c r="DEN57" s="22"/>
      <c r="DEO57" s="22"/>
      <c r="DEP57" s="22"/>
      <c r="DEQ57" s="22"/>
      <c r="DER57" s="22"/>
      <c r="DES57" s="22"/>
      <c r="DET57" s="22"/>
      <c r="DEU57" s="22"/>
      <c r="DEV57" s="22"/>
      <c r="DEW57" s="22"/>
      <c r="DEX57" s="22"/>
      <c r="DEY57" s="22"/>
      <c r="DEZ57" s="22"/>
      <c r="DFA57" s="22"/>
      <c r="DFB57" s="22"/>
      <c r="DFC57" s="22"/>
      <c r="DFD57" s="22"/>
      <c r="DFE57" s="22"/>
      <c r="DFF57" s="22"/>
      <c r="DFG57" s="22"/>
      <c r="DFH57" s="22"/>
      <c r="DFI57" s="22"/>
      <c r="DFJ57" s="22"/>
      <c r="DFK57" s="22"/>
      <c r="DFL57" s="22"/>
      <c r="DFM57" s="22"/>
      <c r="DFN57" s="22"/>
      <c r="DFO57" s="22"/>
      <c r="DFP57" s="22"/>
      <c r="DFQ57" s="22"/>
      <c r="DFR57" s="22"/>
      <c r="DFS57" s="22"/>
      <c r="DFT57" s="22"/>
      <c r="DFU57" s="22"/>
      <c r="DFV57" s="22"/>
      <c r="DFW57" s="22"/>
      <c r="DFX57" s="22"/>
      <c r="DFY57" s="22"/>
      <c r="DFZ57" s="22"/>
      <c r="DGA57" s="22"/>
      <c r="DGB57" s="22"/>
      <c r="DGC57" s="22"/>
      <c r="DGD57" s="22"/>
      <c r="DGE57" s="22"/>
      <c r="DGF57" s="22"/>
      <c r="DGG57" s="22"/>
      <c r="DGH57" s="22"/>
      <c r="DGI57" s="22"/>
      <c r="DGJ57" s="22"/>
      <c r="DGK57" s="22"/>
      <c r="DGL57" s="22"/>
      <c r="DGM57" s="22"/>
      <c r="DGN57" s="22"/>
      <c r="DGO57" s="22"/>
      <c r="DGP57" s="22"/>
      <c r="DGQ57" s="22"/>
      <c r="DGR57" s="22"/>
      <c r="DGS57" s="22"/>
      <c r="DGT57" s="22"/>
      <c r="DGU57" s="22"/>
      <c r="DGV57" s="22"/>
      <c r="DGW57" s="22"/>
      <c r="DGX57" s="22"/>
      <c r="DGY57" s="22"/>
      <c r="DGZ57" s="22"/>
      <c r="DHA57" s="22"/>
      <c r="DHB57" s="22"/>
      <c r="DHC57" s="22"/>
      <c r="DHD57" s="22"/>
      <c r="DHE57" s="22"/>
      <c r="DHF57" s="22"/>
      <c r="DHG57" s="22"/>
      <c r="DHH57" s="22"/>
      <c r="DHI57" s="22"/>
      <c r="DHJ57" s="22"/>
      <c r="DHK57" s="22"/>
      <c r="DHL57" s="22"/>
      <c r="DHM57" s="22"/>
      <c r="DHN57" s="22"/>
      <c r="DHO57" s="22"/>
      <c r="DHP57" s="22"/>
      <c r="DHQ57" s="22"/>
      <c r="DHR57" s="22"/>
      <c r="DHS57" s="22"/>
      <c r="DHT57" s="22"/>
      <c r="DHU57" s="22"/>
      <c r="DHV57" s="22"/>
      <c r="DHW57" s="22"/>
      <c r="DHX57" s="22"/>
      <c r="DHY57" s="22"/>
      <c r="DHZ57" s="22"/>
      <c r="DIA57" s="22"/>
      <c r="DIB57" s="22"/>
      <c r="DIC57" s="22"/>
      <c r="DID57" s="22"/>
      <c r="DIE57" s="22"/>
      <c r="DIF57" s="22"/>
      <c r="DIG57" s="22"/>
      <c r="DIH57" s="22"/>
      <c r="DII57" s="22"/>
      <c r="DIJ57" s="22"/>
      <c r="DIK57" s="22"/>
      <c r="DIL57" s="22"/>
      <c r="DIM57" s="22"/>
      <c r="DIN57" s="22"/>
      <c r="DIO57" s="22"/>
      <c r="DIP57" s="22"/>
      <c r="DIQ57" s="22"/>
      <c r="DIR57" s="22"/>
      <c r="DIS57" s="22"/>
      <c r="DIT57" s="22"/>
      <c r="DIU57" s="22"/>
      <c r="DIV57" s="22"/>
      <c r="DIW57" s="22"/>
      <c r="DIX57" s="22"/>
      <c r="DIY57" s="22"/>
      <c r="DIZ57" s="22"/>
      <c r="DJA57" s="22"/>
      <c r="DJB57" s="22"/>
      <c r="DJC57" s="22"/>
      <c r="DJD57" s="22"/>
      <c r="DJE57" s="22"/>
      <c r="DJF57" s="22"/>
      <c r="DJG57" s="22"/>
      <c r="DJH57" s="22"/>
      <c r="DJI57" s="22"/>
      <c r="DJJ57" s="22"/>
      <c r="DJK57" s="22"/>
      <c r="DJL57" s="22"/>
      <c r="DJM57" s="22"/>
      <c r="DJN57" s="22"/>
      <c r="DJO57" s="22"/>
      <c r="DJP57" s="22"/>
      <c r="DJQ57" s="22"/>
      <c r="DJR57" s="22"/>
      <c r="DJS57" s="22"/>
      <c r="DJT57" s="22"/>
      <c r="DJU57" s="22"/>
      <c r="DJV57" s="22"/>
      <c r="DJW57" s="22"/>
      <c r="DJX57" s="22"/>
      <c r="DJY57" s="22"/>
      <c r="DJZ57" s="22"/>
      <c r="DKA57" s="22"/>
      <c r="DKB57" s="22"/>
      <c r="DKC57" s="22"/>
      <c r="DKD57" s="22"/>
      <c r="DKE57" s="22"/>
      <c r="DKF57" s="22"/>
      <c r="DKG57" s="22"/>
      <c r="DKH57" s="22"/>
      <c r="DKI57" s="22"/>
      <c r="DKJ57" s="22"/>
      <c r="DKK57" s="22"/>
      <c r="DKL57" s="22"/>
      <c r="DKM57" s="22"/>
      <c r="DKN57" s="22"/>
      <c r="DKO57" s="22"/>
      <c r="DKP57" s="22"/>
      <c r="DKQ57" s="22"/>
      <c r="DKR57" s="22"/>
      <c r="DKS57" s="22"/>
      <c r="DKT57" s="22"/>
      <c r="DKU57" s="22"/>
      <c r="DKV57" s="22"/>
      <c r="DKW57" s="22"/>
      <c r="DKX57" s="22"/>
      <c r="DKY57" s="22"/>
      <c r="DKZ57" s="22"/>
      <c r="DLA57" s="22"/>
      <c r="DLB57" s="22"/>
      <c r="DLC57" s="22"/>
      <c r="DLD57" s="22"/>
      <c r="DLE57" s="22"/>
      <c r="DLF57" s="22"/>
      <c r="DLG57" s="22"/>
      <c r="DLH57" s="22"/>
      <c r="DLI57" s="22"/>
      <c r="DLJ57" s="22"/>
      <c r="DLK57" s="22"/>
      <c r="DLL57" s="22"/>
      <c r="DLM57" s="22"/>
      <c r="DLN57" s="22"/>
      <c r="DLO57" s="22"/>
      <c r="DLP57" s="22"/>
      <c r="DLQ57" s="22"/>
      <c r="DLR57" s="22"/>
      <c r="DLS57" s="22"/>
      <c r="DLT57" s="22"/>
      <c r="DLU57" s="22"/>
      <c r="DLV57" s="22"/>
      <c r="DLW57" s="22"/>
      <c r="DLX57" s="22"/>
      <c r="DLY57" s="22"/>
      <c r="DLZ57" s="22"/>
      <c r="DMA57" s="22"/>
      <c r="DMB57" s="22"/>
      <c r="DMC57" s="22"/>
      <c r="DMD57" s="22"/>
      <c r="DME57" s="22"/>
      <c r="DMF57" s="22"/>
      <c r="DMG57" s="22"/>
      <c r="DMH57" s="22"/>
      <c r="DMI57" s="22"/>
      <c r="DMJ57" s="22"/>
      <c r="DMK57" s="22"/>
      <c r="DML57" s="22"/>
      <c r="DMM57" s="22"/>
      <c r="DMN57" s="22"/>
      <c r="DMO57" s="22"/>
      <c r="DMP57" s="22"/>
      <c r="DMQ57" s="22"/>
      <c r="DMR57" s="22"/>
      <c r="DMS57" s="22"/>
      <c r="DMT57" s="22"/>
      <c r="DMU57" s="22"/>
      <c r="DMV57" s="22"/>
      <c r="DMW57" s="22"/>
      <c r="DMX57" s="22"/>
      <c r="DMY57" s="22"/>
      <c r="DMZ57" s="22"/>
      <c r="DNA57" s="22"/>
      <c r="DNB57" s="22"/>
      <c r="DNC57" s="22"/>
      <c r="DND57" s="22"/>
      <c r="DNE57" s="22"/>
      <c r="DNF57" s="22"/>
      <c r="DNG57" s="22"/>
      <c r="DNH57" s="22"/>
      <c r="DNI57" s="22"/>
      <c r="DNJ57" s="22"/>
      <c r="DNK57" s="22"/>
      <c r="DNL57" s="22"/>
      <c r="DNM57" s="22"/>
      <c r="DNN57" s="22"/>
      <c r="DNO57" s="22"/>
      <c r="DNP57" s="22"/>
      <c r="DNQ57" s="22"/>
      <c r="DNR57" s="22"/>
      <c r="DNS57" s="22"/>
      <c r="DNT57" s="22"/>
      <c r="DNU57" s="22"/>
      <c r="DNV57" s="22"/>
      <c r="DNW57" s="22"/>
      <c r="DNX57" s="22"/>
      <c r="DNY57" s="22"/>
      <c r="DNZ57" s="22"/>
      <c r="DOA57" s="22"/>
      <c r="DOB57" s="22"/>
      <c r="DOC57" s="22"/>
      <c r="DOD57" s="22"/>
      <c r="DOE57" s="22"/>
      <c r="DOF57" s="22"/>
      <c r="DOG57" s="22"/>
      <c r="DOH57" s="22"/>
      <c r="DOI57" s="22"/>
      <c r="DOJ57" s="22"/>
      <c r="DOK57" s="22"/>
      <c r="DOL57" s="22"/>
      <c r="DOM57" s="22"/>
      <c r="DON57" s="22"/>
      <c r="DOO57" s="22"/>
      <c r="DOP57" s="22"/>
      <c r="DOQ57" s="22"/>
      <c r="DOR57" s="22"/>
      <c r="DOS57" s="22"/>
      <c r="DOT57" s="22"/>
      <c r="DOU57" s="22"/>
      <c r="DOV57" s="22"/>
      <c r="DOW57" s="22"/>
      <c r="DOX57" s="22"/>
      <c r="DOY57" s="22"/>
      <c r="DOZ57" s="22"/>
      <c r="DPA57" s="22"/>
      <c r="DPB57" s="22"/>
      <c r="DPC57" s="22"/>
      <c r="DPD57" s="22"/>
      <c r="DPE57" s="22"/>
      <c r="DPF57" s="22"/>
      <c r="DPG57" s="22"/>
      <c r="DPH57" s="22"/>
      <c r="DPI57" s="22"/>
      <c r="DPJ57" s="22"/>
      <c r="DPK57" s="22"/>
      <c r="DPL57" s="22"/>
      <c r="DPM57" s="22"/>
      <c r="DPN57" s="22"/>
      <c r="DPO57" s="22"/>
      <c r="DPP57" s="22"/>
      <c r="DPQ57" s="22"/>
      <c r="DPR57" s="22"/>
      <c r="DPS57" s="22"/>
      <c r="DPT57" s="22"/>
      <c r="DPU57" s="22"/>
      <c r="DPV57" s="22"/>
      <c r="DPW57" s="22"/>
      <c r="DPX57" s="22"/>
      <c r="DPY57" s="22"/>
      <c r="DPZ57" s="22"/>
      <c r="DQA57" s="22"/>
      <c r="DQB57" s="22"/>
      <c r="DQC57" s="22"/>
      <c r="DQD57" s="22"/>
      <c r="DQE57" s="22"/>
      <c r="DQF57" s="22"/>
      <c r="DQG57" s="22"/>
      <c r="DQH57" s="22"/>
      <c r="DQI57" s="22"/>
      <c r="DQJ57" s="22"/>
      <c r="DQK57" s="22"/>
      <c r="DQL57" s="22"/>
      <c r="DQM57" s="22"/>
      <c r="DQN57" s="22"/>
      <c r="DQO57" s="22"/>
      <c r="DQP57" s="22"/>
      <c r="DQQ57" s="22"/>
      <c r="DQR57" s="22"/>
      <c r="DQS57" s="22"/>
      <c r="DQT57" s="22"/>
      <c r="DQU57" s="22"/>
      <c r="DQV57" s="22"/>
      <c r="DQW57" s="22"/>
      <c r="DQX57" s="22"/>
      <c r="DQY57" s="22"/>
      <c r="DQZ57" s="22"/>
      <c r="DRA57" s="22"/>
      <c r="DRB57" s="22"/>
      <c r="DRC57" s="22"/>
      <c r="DRD57" s="22"/>
      <c r="DRE57" s="22"/>
      <c r="DRF57" s="22"/>
      <c r="DRG57" s="22"/>
      <c r="DRH57" s="22"/>
      <c r="DRI57" s="22"/>
      <c r="DRJ57" s="22"/>
      <c r="DRK57" s="22"/>
      <c r="DRL57" s="22"/>
      <c r="DRM57" s="22"/>
      <c r="DRN57" s="22"/>
      <c r="DRO57" s="22"/>
      <c r="DRP57" s="22"/>
      <c r="DRQ57" s="22"/>
      <c r="DRR57" s="22"/>
      <c r="DRS57" s="22"/>
      <c r="DRT57" s="22"/>
      <c r="DRU57" s="22"/>
      <c r="DRV57" s="22"/>
      <c r="DRW57" s="22"/>
      <c r="DRX57" s="22"/>
      <c r="DRY57" s="22"/>
      <c r="DRZ57" s="22"/>
      <c r="DSA57" s="22"/>
      <c r="DSB57" s="22"/>
      <c r="DSC57" s="22"/>
      <c r="DSD57" s="22"/>
      <c r="DSE57" s="22"/>
      <c r="DSF57" s="22"/>
      <c r="DSG57" s="22"/>
      <c r="DSH57" s="22"/>
      <c r="DSI57" s="22"/>
      <c r="DSJ57" s="22"/>
      <c r="DSK57" s="22"/>
      <c r="DSL57" s="22"/>
      <c r="DSM57" s="22"/>
      <c r="DSN57" s="22"/>
      <c r="DSO57" s="22"/>
      <c r="DSP57" s="22"/>
      <c r="DSQ57" s="22"/>
      <c r="DSR57" s="22"/>
      <c r="DSS57" s="22"/>
      <c r="DST57" s="22"/>
      <c r="DSU57" s="22"/>
      <c r="DSV57" s="22"/>
      <c r="DSW57" s="22"/>
      <c r="DSX57" s="22"/>
      <c r="DSY57" s="22"/>
      <c r="DSZ57" s="22"/>
      <c r="DTA57" s="22"/>
      <c r="DTB57" s="22"/>
      <c r="DTC57" s="22"/>
      <c r="DTD57" s="22"/>
      <c r="DTE57" s="22"/>
      <c r="DTF57" s="22"/>
      <c r="DTG57" s="22"/>
      <c r="DTH57" s="22"/>
      <c r="DTI57" s="22"/>
      <c r="DTJ57" s="22"/>
      <c r="DTK57" s="22"/>
      <c r="DTL57" s="22"/>
      <c r="DTM57" s="22"/>
      <c r="DTN57" s="22"/>
      <c r="DTO57" s="22"/>
      <c r="DTP57" s="22"/>
      <c r="DTQ57" s="22"/>
      <c r="DTR57" s="22"/>
      <c r="DTS57" s="22"/>
      <c r="DTT57" s="22"/>
      <c r="DTU57" s="22"/>
      <c r="DTV57" s="22"/>
      <c r="DTW57" s="22"/>
      <c r="DTX57" s="22"/>
      <c r="DTY57" s="22"/>
      <c r="DTZ57" s="22"/>
      <c r="DUA57" s="22"/>
      <c r="DUB57" s="22"/>
      <c r="DUC57" s="22"/>
      <c r="DUD57" s="22"/>
      <c r="DUE57" s="22"/>
      <c r="DUF57" s="22"/>
      <c r="DUG57" s="22"/>
      <c r="DUH57" s="22"/>
      <c r="DUI57" s="22"/>
      <c r="DUJ57" s="22"/>
      <c r="DUK57" s="22"/>
      <c r="DUL57" s="22"/>
      <c r="DUM57" s="22"/>
      <c r="DUN57" s="22"/>
      <c r="DUO57" s="22"/>
      <c r="DUP57" s="22"/>
      <c r="DUQ57" s="22"/>
      <c r="DUR57" s="22"/>
      <c r="DUS57" s="22"/>
      <c r="DUT57" s="22"/>
      <c r="DUU57" s="22"/>
      <c r="DUV57" s="22"/>
      <c r="DUW57" s="22"/>
      <c r="DUX57" s="22"/>
      <c r="DUY57" s="22"/>
      <c r="DUZ57" s="22"/>
      <c r="DVA57" s="22"/>
      <c r="DVB57" s="22"/>
      <c r="DVC57" s="22"/>
      <c r="DVD57" s="22"/>
      <c r="DVE57" s="22"/>
      <c r="DVF57" s="22"/>
      <c r="DVG57" s="22"/>
      <c r="DVH57" s="22"/>
      <c r="DVI57" s="22"/>
      <c r="DVJ57" s="22"/>
      <c r="DVK57" s="22"/>
      <c r="DVL57" s="22"/>
      <c r="DVM57" s="22"/>
      <c r="DVN57" s="22"/>
      <c r="DVO57" s="22"/>
      <c r="DVP57" s="22"/>
      <c r="DVQ57" s="22"/>
      <c r="DVR57" s="22"/>
      <c r="DVS57" s="22"/>
      <c r="DVT57" s="22"/>
      <c r="DVU57" s="22"/>
      <c r="DVV57" s="22"/>
      <c r="DVW57" s="22"/>
      <c r="DVX57" s="22"/>
      <c r="DVY57" s="22"/>
      <c r="DVZ57" s="22"/>
      <c r="DWA57" s="22"/>
      <c r="DWB57" s="22"/>
      <c r="DWC57" s="22"/>
      <c r="DWD57" s="22"/>
      <c r="DWE57" s="22"/>
      <c r="DWF57" s="22"/>
      <c r="DWG57" s="22"/>
      <c r="DWH57" s="22"/>
      <c r="DWI57" s="22"/>
      <c r="DWJ57" s="22"/>
      <c r="DWK57" s="22"/>
      <c r="DWL57" s="22"/>
      <c r="DWM57" s="22"/>
      <c r="DWN57" s="22"/>
      <c r="DWO57" s="22"/>
      <c r="DWP57" s="22"/>
      <c r="DWQ57" s="22"/>
      <c r="DWR57" s="22"/>
      <c r="DWS57" s="22"/>
      <c r="DWT57" s="22"/>
      <c r="DWU57" s="22"/>
      <c r="DWV57" s="22"/>
      <c r="DWW57" s="22"/>
      <c r="DWX57" s="22"/>
      <c r="DWY57" s="22"/>
      <c r="DWZ57" s="22"/>
      <c r="DXA57" s="22"/>
      <c r="DXB57" s="22"/>
      <c r="DXC57" s="22"/>
      <c r="DXD57" s="22"/>
      <c r="DXE57" s="22"/>
      <c r="DXF57" s="22"/>
      <c r="DXG57" s="22"/>
      <c r="DXH57" s="22"/>
      <c r="DXI57" s="22"/>
      <c r="DXJ57" s="22"/>
      <c r="DXK57" s="22"/>
      <c r="DXL57" s="22"/>
      <c r="DXM57" s="22"/>
      <c r="DXN57" s="22"/>
      <c r="DXO57" s="22"/>
      <c r="DXP57" s="22"/>
      <c r="DXQ57" s="22"/>
      <c r="DXR57" s="22"/>
      <c r="DXS57" s="22"/>
      <c r="DXT57" s="22"/>
      <c r="DXU57" s="22"/>
      <c r="DXV57" s="22"/>
      <c r="DXW57" s="22"/>
      <c r="DXX57" s="22"/>
      <c r="DXY57" s="22"/>
      <c r="DXZ57" s="22"/>
      <c r="DYA57" s="22"/>
      <c r="DYB57" s="22"/>
      <c r="DYC57" s="22"/>
      <c r="DYD57" s="22"/>
      <c r="DYE57" s="22"/>
      <c r="DYF57" s="22"/>
      <c r="DYG57" s="22"/>
      <c r="DYH57" s="22"/>
      <c r="DYI57" s="22"/>
      <c r="DYJ57" s="22"/>
      <c r="DYK57" s="22"/>
      <c r="DYL57" s="22"/>
      <c r="DYM57" s="22"/>
      <c r="DYN57" s="22"/>
      <c r="DYO57" s="22"/>
      <c r="DYP57" s="22"/>
      <c r="DYQ57" s="22"/>
      <c r="DYR57" s="22"/>
      <c r="DYS57" s="22"/>
      <c r="DYT57" s="22"/>
      <c r="DYU57" s="22"/>
      <c r="DYV57" s="22"/>
      <c r="DYW57" s="22"/>
      <c r="DYX57" s="22"/>
      <c r="DYY57" s="22"/>
      <c r="DYZ57" s="22"/>
      <c r="DZA57" s="22"/>
      <c r="DZB57" s="22"/>
      <c r="DZC57" s="22"/>
      <c r="DZD57" s="22"/>
      <c r="DZE57" s="22"/>
      <c r="DZF57" s="22"/>
      <c r="DZG57" s="22"/>
      <c r="DZH57" s="22"/>
      <c r="DZI57" s="22"/>
      <c r="DZJ57" s="22"/>
      <c r="DZK57" s="22"/>
      <c r="DZL57" s="22"/>
      <c r="DZM57" s="22"/>
      <c r="DZN57" s="22"/>
      <c r="DZO57" s="22"/>
      <c r="DZP57" s="22"/>
      <c r="DZQ57" s="22"/>
      <c r="DZR57" s="22"/>
      <c r="DZS57" s="22"/>
      <c r="DZT57" s="22"/>
      <c r="DZU57" s="22"/>
      <c r="DZV57" s="22"/>
      <c r="DZW57" s="22"/>
      <c r="DZX57" s="22"/>
      <c r="DZY57" s="22"/>
      <c r="DZZ57" s="22"/>
      <c r="EAA57" s="22"/>
      <c r="EAB57" s="22"/>
      <c r="EAC57" s="22"/>
      <c r="EAD57" s="22"/>
      <c r="EAE57" s="22"/>
      <c r="EAF57" s="22"/>
      <c r="EAG57" s="22"/>
      <c r="EAH57" s="22"/>
      <c r="EAI57" s="22"/>
      <c r="EAJ57" s="22"/>
      <c r="EAK57" s="22"/>
      <c r="EAL57" s="22"/>
      <c r="EAM57" s="22"/>
      <c r="EAN57" s="22"/>
      <c r="EAO57" s="22"/>
      <c r="EAP57" s="22"/>
      <c r="EAQ57" s="22"/>
      <c r="EAR57" s="22"/>
      <c r="EAS57" s="22"/>
      <c r="EAT57" s="22"/>
      <c r="EAU57" s="22"/>
      <c r="EAV57" s="22"/>
      <c r="EAW57" s="22"/>
      <c r="EAX57" s="22"/>
      <c r="EAY57" s="22"/>
      <c r="EAZ57" s="22"/>
      <c r="EBA57" s="22"/>
      <c r="EBB57" s="22"/>
      <c r="EBC57" s="22"/>
      <c r="EBD57" s="22"/>
      <c r="EBE57" s="22"/>
      <c r="EBF57" s="22"/>
      <c r="EBG57" s="22"/>
      <c r="EBH57" s="22"/>
      <c r="EBI57" s="22"/>
      <c r="EBJ57" s="22"/>
      <c r="EBK57" s="22"/>
      <c r="EBL57" s="22"/>
      <c r="EBM57" s="22"/>
      <c r="EBN57" s="22"/>
      <c r="EBO57" s="22"/>
      <c r="EBP57" s="22"/>
      <c r="EBQ57" s="22"/>
      <c r="EBR57" s="22"/>
      <c r="EBS57" s="22"/>
      <c r="EBT57" s="22"/>
      <c r="EBU57" s="22"/>
      <c r="EBV57" s="22"/>
      <c r="EBW57" s="22"/>
      <c r="EBX57" s="22"/>
      <c r="EBY57" s="22"/>
      <c r="EBZ57" s="22"/>
      <c r="ECA57" s="22"/>
      <c r="ECB57" s="22"/>
      <c r="ECC57" s="22"/>
      <c r="ECD57" s="22"/>
      <c r="ECE57" s="22"/>
      <c r="ECF57" s="22"/>
      <c r="ECG57" s="22"/>
      <c r="ECH57" s="22"/>
      <c r="ECI57" s="22"/>
      <c r="ECJ57" s="22"/>
      <c r="ECK57" s="22"/>
      <c r="ECL57" s="22"/>
      <c r="ECM57" s="22"/>
      <c r="ECN57" s="22"/>
      <c r="ECO57" s="22"/>
      <c r="ECP57" s="22"/>
      <c r="ECQ57" s="22"/>
      <c r="ECR57" s="22"/>
      <c r="ECS57" s="22"/>
      <c r="ECT57" s="22"/>
      <c r="ECU57" s="22"/>
      <c r="ECV57" s="22"/>
      <c r="ECW57" s="22"/>
      <c r="ECX57" s="22"/>
      <c r="ECY57" s="22"/>
      <c r="ECZ57" s="22"/>
      <c r="EDA57" s="22"/>
      <c r="EDB57" s="22"/>
      <c r="EDC57" s="22"/>
      <c r="EDD57" s="22"/>
      <c r="EDE57" s="22"/>
      <c r="EDF57" s="22"/>
      <c r="EDG57" s="22"/>
      <c r="EDH57" s="22"/>
      <c r="EDI57" s="22"/>
      <c r="EDJ57" s="22"/>
      <c r="EDK57" s="22"/>
      <c r="EDL57" s="22"/>
      <c r="EDM57" s="22"/>
      <c r="EDN57" s="22"/>
      <c r="EDO57" s="22"/>
      <c r="EDP57" s="22"/>
      <c r="EDQ57" s="22"/>
      <c r="EDR57" s="22"/>
      <c r="EDS57" s="22"/>
      <c r="EDT57" s="22"/>
      <c r="EDU57" s="22"/>
      <c r="EDV57" s="22"/>
      <c r="EDW57" s="22"/>
      <c r="EDX57" s="22"/>
      <c r="EDY57" s="22"/>
      <c r="EDZ57" s="22"/>
      <c r="EEA57" s="22"/>
      <c r="EEB57" s="22"/>
      <c r="EEC57" s="22"/>
      <c r="EED57" s="22"/>
      <c r="EEE57" s="22"/>
      <c r="EEF57" s="22"/>
      <c r="EEG57" s="22"/>
      <c r="EEH57" s="22"/>
      <c r="EEI57" s="22"/>
      <c r="EEJ57" s="22"/>
      <c r="EEK57" s="22"/>
      <c r="EEL57" s="22"/>
      <c r="EEM57" s="22"/>
      <c r="EEN57" s="22"/>
      <c r="EEO57" s="22"/>
      <c r="EEP57" s="22"/>
      <c r="EEQ57" s="22"/>
      <c r="EER57" s="22"/>
      <c r="EES57" s="22"/>
      <c r="EET57" s="22"/>
      <c r="EEU57" s="22"/>
      <c r="EEV57" s="22"/>
      <c r="EEW57" s="22"/>
      <c r="EEX57" s="22"/>
      <c r="EEY57" s="22"/>
      <c r="EEZ57" s="22"/>
      <c r="EFA57" s="22"/>
      <c r="EFB57" s="22"/>
      <c r="EFC57" s="22"/>
      <c r="EFD57" s="22"/>
      <c r="EFE57" s="22"/>
      <c r="EFF57" s="22"/>
      <c r="EFG57" s="22"/>
      <c r="EFH57" s="22"/>
      <c r="EFI57" s="22"/>
      <c r="EFJ57" s="22"/>
      <c r="EFK57" s="22"/>
      <c r="EFL57" s="22"/>
      <c r="EFM57" s="22"/>
      <c r="EFN57" s="22"/>
      <c r="EFO57" s="22"/>
      <c r="EFP57" s="22"/>
      <c r="EFQ57" s="22"/>
      <c r="EFR57" s="22"/>
      <c r="EFS57" s="22"/>
      <c r="EFT57" s="22"/>
      <c r="EFU57" s="22"/>
      <c r="EFV57" s="22"/>
      <c r="EFW57" s="22"/>
      <c r="EFX57" s="22"/>
      <c r="EFY57" s="22"/>
      <c r="EFZ57" s="22"/>
      <c r="EGA57" s="22"/>
      <c r="EGB57" s="22"/>
      <c r="EGC57" s="22"/>
      <c r="EGD57" s="22"/>
      <c r="EGE57" s="22"/>
      <c r="EGF57" s="22"/>
      <c r="EGG57" s="22"/>
      <c r="EGH57" s="22"/>
      <c r="EGI57" s="22"/>
      <c r="EGJ57" s="22"/>
      <c r="EGK57" s="22"/>
      <c r="EGL57" s="22"/>
      <c r="EGM57" s="22"/>
      <c r="EGN57" s="22"/>
      <c r="EGO57" s="22"/>
      <c r="EGP57" s="22"/>
      <c r="EGQ57" s="22"/>
      <c r="EGR57" s="22"/>
      <c r="EGS57" s="22"/>
      <c r="EGT57" s="22"/>
      <c r="EGU57" s="22"/>
      <c r="EGV57" s="22"/>
      <c r="EGW57" s="22"/>
      <c r="EGX57" s="22"/>
      <c r="EGY57" s="22"/>
      <c r="EGZ57" s="22"/>
      <c r="EHA57" s="22"/>
      <c r="EHB57" s="22"/>
      <c r="EHC57" s="22"/>
      <c r="EHD57" s="22"/>
      <c r="EHE57" s="22"/>
      <c r="EHF57" s="22"/>
      <c r="EHG57" s="22"/>
      <c r="EHH57" s="22"/>
      <c r="EHI57" s="22"/>
      <c r="EHJ57" s="22"/>
      <c r="EHK57" s="22"/>
      <c r="EHL57" s="22"/>
      <c r="EHM57" s="22"/>
      <c r="EHN57" s="22"/>
      <c r="EHO57" s="22"/>
      <c r="EHP57" s="22"/>
      <c r="EHQ57" s="22"/>
      <c r="EHR57" s="22"/>
      <c r="EHS57" s="22"/>
      <c r="EHT57" s="22"/>
      <c r="EHU57" s="22"/>
      <c r="EHV57" s="22"/>
      <c r="EHW57" s="22"/>
      <c r="EHX57" s="22"/>
      <c r="EHY57" s="22"/>
      <c r="EHZ57" s="22"/>
      <c r="EIA57" s="22"/>
      <c r="EIB57" s="22"/>
      <c r="EIC57" s="22"/>
      <c r="EID57" s="22"/>
      <c r="EIE57" s="22"/>
      <c r="EIF57" s="22"/>
      <c r="EIG57" s="22"/>
      <c r="EIH57" s="22"/>
      <c r="EII57" s="22"/>
      <c r="EIJ57" s="22"/>
      <c r="EIK57" s="22"/>
      <c r="EIL57" s="22"/>
      <c r="EIM57" s="22"/>
      <c r="EIN57" s="22"/>
      <c r="EIO57" s="22"/>
      <c r="EIP57" s="22"/>
      <c r="EIQ57" s="22"/>
      <c r="EIR57" s="22"/>
      <c r="EIS57" s="22"/>
      <c r="EIT57" s="22"/>
      <c r="EIU57" s="22"/>
      <c r="EIV57" s="22"/>
      <c r="EIW57" s="22"/>
      <c r="EIX57" s="22"/>
      <c r="EIY57" s="22"/>
      <c r="EIZ57" s="22"/>
      <c r="EJA57" s="22"/>
      <c r="EJB57" s="22"/>
      <c r="EJC57" s="22"/>
      <c r="EJD57" s="22"/>
      <c r="EJE57" s="22"/>
      <c r="EJF57" s="22"/>
      <c r="EJG57" s="22"/>
      <c r="EJH57" s="22"/>
      <c r="EJI57" s="22"/>
      <c r="EJJ57" s="22"/>
      <c r="EJK57" s="22"/>
      <c r="EJL57" s="22"/>
      <c r="EJM57" s="22"/>
      <c r="EJN57" s="22"/>
      <c r="EJO57" s="22"/>
      <c r="EJP57" s="22"/>
      <c r="EJQ57" s="22"/>
      <c r="EJR57" s="22"/>
      <c r="EJS57" s="22"/>
      <c r="EJT57" s="22"/>
      <c r="EJU57" s="22"/>
      <c r="EJV57" s="22"/>
      <c r="EJW57" s="22"/>
      <c r="EJX57" s="22"/>
      <c r="EJY57" s="22"/>
      <c r="EJZ57" s="22"/>
      <c r="EKA57" s="22"/>
      <c r="EKB57" s="22"/>
      <c r="EKC57" s="22"/>
      <c r="EKD57" s="22"/>
      <c r="EKE57" s="22"/>
      <c r="EKF57" s="22"/>
      <c r="EKG57" s="22"/>
      <c r="EKH57" s="22"/>
      <c r="EKI57" s="22"/>
      <c r="EKJ57" s="22"/>
      <c r="EKK57" s="22"/>
      <c r="EKL57" s="22"/>
      <c r="EKM57" s="22"/>
      <c r="EKN57" s="22"/>
      <c r="EKO57" s="22"/>
      <c r="EKP57" s="22"/>
      <c r="EKQ57" s="22"/>
      <c r="EKR57" s="22"/>
      <c r="EKS57" s="22"/>
      <c r="EKT57" s="22"/>
      <c r="EKU57" s="22"/>
      <c r="EKV57" s="22"/>
      <c r="EKW57" s="22"/>
      <c r="EKX57" s="22"/>
      <c r="EKY57" s="22"/>
      <c r="EKZ57" s="22"/>
      <c r="ELA57" s="22"/>
      <c r="ELB57" s="22"/>
      <c r="ELC57" s="22"/>
      <c r="ELD57" s="22"/>
      <c r="ELE57" s="22"/>
      <c r="ELF57" s="22"/>
      <c r="ELG57" s="22"/>
      <c r="ELH57" s="22"/>
      <c r="ELI57" s="22"/>
      <c r="ELJ57" s="22"/>
      <c r="ELK57" s="22"/>
      <c r="ELL57" s="22"/>
      <c r="ELM57" s="22"/>
      <c r="ELN57" s="22"/>
      <c r="ELO57" s="22"/>
      <c r="ELP57" s="22"/>
      <c r="ELQ57" s="22"/>
      <c r="ELR57" s="22"/>
      <c r="ELS57" s="22"/>
      <c r="ELT57" s="22"/>
      <c r="ELU57" s="22"/>
      <c r="ELV57" s="22"/>
      <c r="ELW57" s="22"/>
      <c r="ELX57" s="22"/>
      <c r="ELY57" s="22"/>
      <c r="ELZ57" s="22"/>
      <c r="EMA57" s="22"/>
      <c r="EMB57" s="22"/>
      <c r="EMC57" s="22"/>
      <c r="EMD57" s="22"/>
      <c r="EME57" s="22"/>
      <c r="EMF57" s="22"/>
      <c r="EMG57" s="22"/>
      <c r="EMH57" s="22"/>
      <c r="EMI57" s="22"/>
      <c r="EMJ57" s="22"/>
      <c r="EMK57" s="22"/>
      <c r="EML57" s="22"/>
      <c r="EMM57" s="22"/>
      <c r="EMN57" s="22"/>
      <c r="EMO57" s="22"/>
      <c r="EMP57" s="22"/>
      <c r="EMQ57" s="22"/>
      <c r="EMR57" s="22"/>
      <c r="EMS57" s="22"/>
      <c r="EMT57" s="22"/>
      <c r="EMU57" s="22"/>
      <c r="EMV57" s="22"/>
      <c r="EMW57" s="22"/>
      <c r="EMX57" s="22"/>
      <c r="EMY57" s="22"/>
      <c r="EMZ57" s="22"/>
      <c r="ENA57" s="22"/>
      <c r="ENB57" s="22"/>
      <c r="ENC57" s="22"/>
      <c r="END57" s="22"/>
      <c r="ENE57" s="22"/>
      <c r="ENF57" s="22"/>
      <c r="ENG57" s="22"/>
      <c r="ENH57" s="22"/>
      <c r="ENI57" s="22"/>
      <c r="ENJ57" s="22"/>
      <c r="ENK57" s="22"/>
      <c r="ENL57" s="22"/>
      <c r="ENM57" s="22"/>
      <c r="ENN57" s="22"/>
      <c r="ENO57" s="22"/>
      <c r="ENP57" s="22"/>
      <c r="ENQ57" s="22"/>
      <c r="ENR57" s="22"/>
      <c r="ENS57" s="22"/>
      <c r="ENT57" s="22"/>
      <c r="ENU57" s="22"/>
      <c r="ENV57" s="22"/>
      <c r="ENW57" s="22"/>
      <c r="ENX57" s="22"/>
      <c r="ENY57" s="22"/>
      <c r="ENZ57" s="22"/>
      <c r="EOA57" s="22"/>
      <c r="EOB57" s="22"/>
      <c r="EOC57" s="22"/>
      <c r="EOD57" s="22"/>
      <c r="EOE57" s="22"/>
      <c r="EOF57" s="22"/>
      <c r="EOG57" s="22"/>
      <c r="EOH57" s="22"/>
      <c r="EOI57" s="22"/>
      <c r="EOJ57" s="22"/>
      <c r="EOK57" s="22"/>
      <c r="EOL57" s="22"/>
      <c r="EOM57" s="22"/>
      <c r="EON57" s="22"/>
      <c r="EOO57" s="22"/>
      <c r="EOP57" s="22"/>
      <c r="EOQ57" s="22"/>
      <c r="EOR57" s="22"/>
      <c r="EOS57" s="22"/>
      <c r="EOT57" s="22"/>
      <c r="EOU57" s="22"/>
      <c r="EOV57" s="22"/>
      <c r="EOW57" s="22"/>
      <c r="EOX57" s="22"/>
      <c r="EOY57" s="22"/>
      <c r="EOZ57" s="22"/>
      <c r="EPA57" s="22"/>
      <c r="EPB57" s="22"/>
      <c r="EPC57" s="22"/>
      <c r="EPD57" s="22"/>
      <c r="EPE57" s="22"/>
      <c r="EPF57" s="22"/>
      <c r="EPG57" s="22"/>
      <c r="EPH57" s="22"/>
      <c r="EPI57" s="22"/>
      <c r="EPJ57" s="22"/>
      <c r="EPK57" s="22"/>
      <c r="EPL57" s="22"/>
      <c r="EPM57" s="22"/>
      <c r="EPN57" s="22"/>
      <c r="EPO57" s="22"/>
      <c r="EPP57" s="22"/>
      <c r="EPQ57" s="22"/>
      <c r="EPR57" s="22"/>
      <c r="EPS57" s="22"/>
      <c r="EPT57" s="22"/>
      <c r="EPU57" s="22"/>
      <c r="EPV57" s="22"/>
      <c r="EPW57" s="22"/>
      <c r="EPX57" s="22"/>
      <c r="EPY57" s="22"/>
      <c r="EPZ57" s="22"/>
      <c r="EQA57" s="22"/>
      <c r="EQB57" s="22"/>
      <c r="EQC57" s="22"/>
      <c r="EQD57" s="22"/>
      <c r="EQE57" s="22"/>
      <c r="EQF57" s="22"/>
      <c r="EQG57" s="22"/>
      <c r="EQH57" s="22"/>
      <c r="EQI57" s="22"/>
      <c r="EQJ57" s="22"/>
      <c r="EQK57" s="22"/>
      <c r="EQL57" s="22"/>
      <c r="EQM57" s="22"/>
      <c r="EQN57" s="22"/>
      <c r="EQO57" s="22"/>
      <c r="EQP57" s="22"/>
      <c r="EQQ57" s="22"/>
      <c r="EQR57" s="22"/>
      <c r="EQS57" s="22"/>
      <c r="EQT57" s="22"/>
      <c r="EQU57" s="22"/>
      <c r="EQV57" s="22"/>
      <c r="EQW57" s="22"/>
      <c r="EQX57" s="22"/>
      <c r="EQY57" s="22"/>
      <c r="EQZ57" s="22"/>
      <c r="ERA57" s="22"/>
      <c r="ERB57" s="22"/>
      <c r="ERC57" s="22"/>
      <c r="ERD57" s="22"/>
      <c r="ERE57" s="22"/>
      <c r="ERF57" s="22"/>
      <c r="ERG57" s="22"/>
      <c r="ERH57" s="22"/>
      <c r="ERI57" s="22"/>
      <c r="ERJ57" s="22"/>
      <c r="ERK57" s="22"/>
      <c r="ERL57" s="22"/>
      <c r="ERM57" s="22"/>
      <c r="ERN57" s="22"/>
      <c r="ERO57" s="22"/>
      <c r="ERP57" s="22"/>
      <c r="ERQ57" s="22"/>
      <c r="ERR57" s="22"/>
      <c r="ERS57" s="22"/>
      <c r="ERT57" s="22"/>
      <c r="ERU57" s="22"/>
      <c r="ERV57" s="22"/>
      <c r="ERW57" s="22"/>
      <c r="ERX57" s="22"/>
      <c r="ERY57" s="22"/>
      <c r="ERZ57" s="22"/>
      <c r="ESA57" s="22"/>
      <c r="ESB57" s="22"/>
      <c r="ESC57" s="22"/>
      <c r="ESD57" s="22"/>
      <c r="ESE57" s="22"/>
      <c r="ESF57" s="22"/>
      <c r="ESG57" s="22"/>
      <c r="ESH57" s="22"/>
      <c r="ESI57" s="22"/>
      <c r="ESJ57" s="22"/>
      <c r="ESK57" s="22"/>
      <c r="ESL57" s="22"/>
      <c r="ESM57" s="22"/>
      <c r="ESN57" s="22"/>
      <c r="ESO57" s="22"/>
      <c r="ESP57" s="22"/>
      <c r="ESQ57" s="22"/>
      <c r="ESR57" s="22"/>
      <c r="ESS57" s="22"/>
      <c r="EST57" s="22"/>
      <c r="ESU57" s="22"/>
      <c r="ESV57" s="22"/>
      <c r="ESW57" s="22"/>
      <c r="ESX57" s="22"/>
      <c r="ESY57" s="22"/>
      <c r="ESZ57" s="22"/>
      <c r="ETA57" s="22"/>
      <c r="ETB57" s="22"/>
      <c r="ETC57" s="22"/>
      <c r="ETD57" s="22"/>
      <c r="ETE57" s="22"/>
      <c r="ETF57" s="22"/>
      <c r="ETG57" s="22"/>
      <c r="ETH57" s="22"/>
      <c r="ETI57" s="22"/>
      <c r="ETJ57" s="22"/>
      <c r="ETK57" s="22"/>
      <c r="ETL57" s="22"/>
      <c r="ETM57" s="22"/>
      <c r="ETN57" s="22"/>
      <c r="ETO57" s="22"/>
      <c r="ETP57" s="22"/>
      <c r="ETQ57" s="22"/>
      <c r="ETR57" s="22"/>
      <c r="ETS57" s="22"/>
      <c r="ETT57" s="22"/>
      <c r="ETU57" s="22"/>
      <c r="ETV57" s="22"/>
      <c r="ETW57" s="22"/>
      <c r="ETX57" s="22"/>
      <c r="ETY57" s="22"/>
      <c r="ETZ57" s="22"/>
      <c r="EUA57" s="22"/>
      <c r="EUB57" s="22"/>
      <c r="EUC57" s="22"/>
      <c r="EUD57" s="22"/>
      <c r="EUE57" s="22"/>
      <c r="EUF57" s="22"/>
      <c r="EUG57" s="22"/>
      <c r="EUH57" s="22"/>
      <c r="EUI57" s="22"/>
      <c r="EUJ57" s="22"/>
      <c r="EUK57" s="22"/>
      <c r="EUL57" s="22"/>
      <c r="EUM57" s="22"/>
      <c r="EUN57" s="22"/>
      <c r="EUO57" s="22"/>
      <c r="EUP57" s="22"/>
      <c r="EUQ57" s="22"/>
      <c r="EUR57" s="22"/>
      <c r="EUS57" s="22"/>
      <c r="EUT57" s="22"/>
      <c r="EUU57" s="22"/>
      <c r="EUV57" s="22"/>
      <c r="EUW57" s="22"/>
      <c r="EUX57" s="22"/>
      <c r="EUY57" s="22"/>
      <c r="EUZ57" s="22"/>
      <c r="EVA57" s="22"/>
      <c r="EVB57" s="22"/>
      <c r="EVC57" s="22"/>
      <c r="EVD57" s="22"/>
      <c r="EVE57" s="22"/>
      <c r="EVF57" s="22"/>
      <c r="EVG57" s="22"/>
      <c r="EVH57" s="22"/>
      <c r="EVI57" s="22"/>
      <c r="EVJ57" s="22"/>
      <c r="EVK57" s="22"/>
      <c r="EVL57" s="22"/>
      <c r="EVM57" s="22"/>
      <c r="EVN57" s="22"/>
      <c r="EVO57" s="22"/>
      <c r="EVP57" s="22"/>
      <c r="EVQ57" s="22"/>
      <c r="EVR57" s="22"/>
      <c r="EVS57" s="22"/>
      <c r="EVT57" s="22"/>
      <c r="EVU57" s="22"/>
      <c r="EVV57" s="22"/>
      <c r="EVW57" s="22"/>
      <c r="EVX57" s="22"/>
      <c r="EVY57" s="22"/>
      <c r="EVZ57" s="22"/>
      <c r="EWA57" s="22"/>
      <c r="EWB57" s="22"/>
      <c r="EWC57" s="22"/>
      <c r="EWD57" s="22"/>
      <c r="EWE57" s="22"/>
      <c r="EWF57" s="22"/>
      <c r="EWG57" s="22"/>
      <c r="EWH57" s="22"/>
      <c r="EWI57" s="22"/>
      <c r="EWJ57" s="22"/>
      <c r="EWK57" s="22"/>
      <c r="EWL57" s="22"/>
      <c r="EWM57" s="22"/>
      <c r="EWN57" s="22"/>
      <c r="EWO57" s="22"/>
      <c r="EWP57" s="22"/>
      <c r="EWQ57" s="22"/>
      <c r="EWR57" s="22"/>
      <c r="EWS57" s="22"/>
      <c r="EWT57" s="22"/>
      <c r="EWU57" s="22"/>
      <c r="EWV57" s="22"/>
      <c r="EWW57" s="22"/>
      <c r="EWX57" s="22"/>
      <c r="EWY57" s="22"/>
      <c r="EWZ57" s="22"/>
      <c r="EXA57" s="22"/>
      <c r="EXB57" s="22"/>
      <c r="EXC57" s="22"/>
      <c r="EXD57" s="22"/>
      <c r="EXE57" s="22"/>
      <c r="EXF57" s="22"/>
      <c r="EXG57" s="22"/>
      <c r="EXH57" s="22"/>
      <c r="EXI57" s="22"/>
      <c r="EXJ57" s="22"/>
      <c r="EXK57" s="22"/>
      <c r="EXL57" s="22"/>
      <c r="EXM57" s="22"/>
      <c r="EXN57" s="22"/>
      <c r="EXO57" s="22"/>
      <c r="EXP57" s="22"/>
      <c r="EXQ57" s="22"/>
      <c r="EXR57" s="22"/>
      <c r="EXS57" s="22"/>
      <c r="EXT57" s="22"/>
      <c r="EXU57" s="22"/>
      <c r="EXV57" s="22"/>
      <c r="EXW57" s="22"/>
      <c r="EXX57" s="22"/>
      <c r="EXY57" s="22"/>
      <c r="EXZ57" s="22"/>
      <c r="EYA57" s="22"/>
      <c r="EYB57" s="22"/>
      <c r="EYC57" s="22"/>
      <c r="EYD57" s="22"/>
      <c r="EYE57" s="22"/>
      <c r="EYF57" s="22"/>
      <c r="EYG57" s="22"/>
      <c r="EYH57" s="22"/>
      <c r="EYI57" s="22"/>
      <c r="EYJ57" s="22"/>
      <c r="EYK57" s="22"/>
      <c r="EYL57" s="22"/>
      <c r="EYM57" s="22"/>
      <c r="EYN57" s="22"/>
      <c r="EYO57" s="22"/>
      <c r="EYP57" s="22"/>
      <c r="EYQ57" s="22"/>
      <c r="EYR57" s="22"/>
      <c r="EYS57" s="22"/>
      <c r="EYT57" s="22"/>
      <c r="EYU57" s="22"/>
      <c r="EYV57" s="22"/>
      <c r="EYW57" s="22"/>
      <c r="EYX57" s="22"/>
      <c r="EYY57" s="22"/>
      <c r="EYZ57" s="22"/>
      <c r="EZA57" s="22"/>
      <c r="EZB57" s="22"/>
      <c r="EZC57" s="22"/>
      <c r="EZD57" s="22"/>
      <c r="EZE57" s="22"/>
      <c r="EZF57" s="22"/>
      <c r="EZG57" s="22"/>
      <c r="EZH57" s="22"/>
      <c r="EZI57" s="22"/>
      <c r="EZJ57" s="22"/>
      <c r="EZK57" s="22"/>
      <c r="EZL57" s="22"/>
      <c r="EZM57" s="22"/>
      <c r="EZN57" s="22"/>
      <c r="EZO57" s="22"/>
      <c r="EZP57" s="22"/>
      <c r="EZQ57" s="22"/>
      <c r="EZR57" s="22"/>
      <c r="EZS57" s="22"/>
      <c r="EZT57" s="22"/>
      <c r="EZU57" s="22"/>
      <c r="EZV57" s="22"/>
      <c r="EZW57" s="22"/>
      <c r="EZX57" s="22"/>
      <c r="EZY57" s="22"/>
      <c r="EZZ57" s="22"/>
      <c r="FAA57" s="22"/>
      <c r="FAB57" s="22"/>
      <c r="FAC57" s="22"/>
      <c r="FAD57" s="22"/>
      <c r="FAE57" s="22"/>
      <c r="FAF57" s="22"/>
      <c r="FAG57" s="22"/>
      <c r="FAH57" s="22"/>
      <c r="FAI57" s="22"/>
      <c r="FAJ57" s="22"/>
      <c r="FAK57" s="22"/>
      <c r="FAL57" s="22"/>
      <c r="FAM57" s="22"/>
      <c r="FAN57" s="22"/>
      <c r="FAO57" s="22"/>
      <c r="FAP57" s="22"/>
      <c r="FAQ57" s="22"/>
      <c r="FAR57" s="22"/>
      <c r="FAS57" s="22"/>
      <c r="FAT57" s="22"/>
      <c r="FAU57" s="22"/>
      <c r="FAV57" s="22"/>
      <c r="FAW57" s="22"/>
      <c r="FAX57" s="22"/>
      <c r="FAY57" s="22"/>
      <c r="FAZ57" s="22"/>
      <c r="FBA57" s="22"/>
      <c r="FBB57" s="22"/>
      <c r="FBC57" s="22"/>
      <c r="FBD57" s="22"/>
      <c r="FBE57" s="22"/>
      <c r="FBF57" s="22"/>
      <c r="FBG57" s="22"/>
      <c r="FBH57" s="22"/>
      <c r="FBI57" s="22"/>
      <c r="FBJ57" s="22"/>
      <c r="FBK57" s="22"/>
      <c r="FBL57" s="22"/>
      <c r="FBM57" s="22"/>
      <c r="FBN57" s="22"/>
      <c r="FBO57" s="22"/>
      <c r="FBP57" s="22"/>
      <c r="FBQ57" s="22"/>
      <c r="FBR57" s="22"/>
      <c r="FBS57" s="22"/>
      <c r="FBT57" s="22"/>
      <c r="FBU57" s="22"/>
      <c r="FBV57" s="22"/>
      <c r="FBW57" s="22"/>
      <c r="FBX57" s="22"/>
      <c r="FBY57" s="22"/>
      <c r="FBZ57" s="22"/>
      <c r="FCA57" s="22"/>
      <c r="FCB57" s="22"/>
      <c r="FCC57" s="22"/>
      <c r="FCD57" s="22"/>
      <c r="FCE57" s="22"/>
      <c r="FCF57" s="22"/>
      <c r="FCG57" s="22"/>
      <c r="FCH57" s="22"/>
      <c r="FCI57" s="22"/>
      <c r="FCJ57" s="22"/>
      <c r="FCK57" s="22"/>
      <c r="FCL57" s="22"/>
      <c r="FCM57" s="22"/>
      <c r="FCN57" s="22"/>
      <c r="FCO57" s="22"/>
      <c r="FCP57" s="22"/>
      <c r="FCQ57" s="22"/>
      <c r="FCR57" s="22"/>
      <c r="FCS57" s="22"/>
      <c r="FCT57" s="22"/>
      <c r="FCU57" s="22"/>
      <c r="FCV57" s="22"/>
      <c r="FCW57" s="22"/>
      <c r="FCX57" s="22"/>
      <c r="FCY57" s="22"/>
      <c r="FCZ57" s="22"/>
      <c r="FDA57" s="22"/>
      <c r="FDB57" s="22"/>
      <c r="FDC57" s="22"/>
      <c r="FDD57" s="22"/>
      <c r="FDE57" s="22"/>
      <c r="FDF57" s="22"/>
      <c r="FDG57" s="22"/>
      <c r="FDH57" s="22"/>
      <c r="FDI57" s="22"/>
      <c r="FDJ57" s="22"/>
      <c r="FDK57" s="22"/>
      <c r="FDL57" s="22"/>
      <c r="FDM57" s="22"/>
      <c r="FDN57" s="22"/>
      <c r="FDO57" s="22"/>
      <c r="FDP57" s="22"/>
      <c r="FDQ57" s="22"/>
      <c r="FDR57" s="22"/>
      <c r="FDS57" s="22"/>
      <c r="FDT57" s="22"/>
      <c r="FDU57" s="22"/>
      <c r="FDV57" s="22"/>
      <c r="FDW57" s="22"/>
      <c r="FDX57" s="22"/>
      <c r="FDY57" s="22"/>
      <c r="FDZ57" s="22"/>
      <c r="FEA57" s="22"/>
      <c r="FEB57" s="22"/>
      <c r="FEC57" s="22"/>
      <c r="FED57" s="22"/>
      <c r="FEE57" s="22"/>
      <c r="FEF57" s="22"/>
      <c r="FEG57" s="22"/>
      <c r="FEH57" s="22"/>
      <c r="FEI57" s="22"/>
      <c r="FEJ57" s="22"/>
      <c r="FEK57" s="22"/>
      <c r="FEL57" s="22"/>
      <c r="FEM57" s="22"/>
      <c r="FEN57" s="22"/>
      <c r="FEO57" s="22"/>
      <c r="FEP57" s="22"/>
      <c r="FEQ57" s="22"/>
      <c r="FER57" s="22"/>
      <c r="FES57" s="22"/>
      <c r="FET57" s="22"/>
      <c r="FEU57" s="22"/>
      <c r="FEV57" s="22"/>
      <c r="FEW57" s="22"/>
      <c r="FEX57" s="22"/>
      <c r="FEY57" s="22"/>
      <c r="FEZ57" s="22"/>
      <c r="FFA57" s="22"/>
      <c r="FFB57" s="22"/>
      <c r="FFC57" s="22"/>
      <c r="FFD57" s="22"/>
      <c r="FFE57" s="22"/>
      <c r="FFF57" s="22"/>
      <c r="FFG57" s="22"/>
      <c r="FFH57" s="22"/>
      <c r="FFI57" s="22"/>
      <c r="FFJ57" s="22"/>
      <c r="FFK57" s="22"/>
      <c r="FFL57" s="22"/>
      <c r="FFM57" s="22"/>
      <c r="FFN57" s="22"/>
      <c r="FFO57" s="22"/>
      <c r="FFP57" s="22"/>
      <c r="FFQ57" s="22"/>
      <c r="FFR57" s="22"/>
      <c r="FFS57" s="22"/>
      <c r="FFT57" s="22"/>
      <c r="FFU57" s="22"/>
      <c r="FFV57" s="22"/>
      <c r="FFW57" s="22"/>
      <c r="FFX57" s="22"/>
      <c r="FFY57" s="22"/>
      <c r="FFZ57" s="22"/>
      <c r="FGA57" s="22"/>
      <c r="FGB57" s="22"/>
      <c r="FGC57" s="22"/>
      <c r="FGD57" s="22"/>
      <c r="FGE57" s="22"/>
      <c r="FGF57" s="22"/>
      <c r="FGG57" s="22"/>
      <c r="FGH57" s="22"/>
      <c r="FGI57" s="22"/>
      <c r="FGJ57" s="22"/>
      <c r="FGK57" s="22"/>
      <c r="FGL57" s="22"/>
      <c r="FGM57" s="22"/>
      <c r="FGN57" s="22"/>
      <c r="FGO57" s="22"/>
      <c r="FGP57" s="22"/>
      <c r="FGQ57" s="22"/>
      <c r="FGR57" s="22"/>
      <c r="FGS57" s="22"/>
      <c r="FGT57" s="22"/>
      <c r="FGU57" s="22"/>
      <c r="FGV57" s="22"/>
      <c r="FGW57" s="22"/>
      <c r="FGX57" s="22"/>
      <c r="FGY57" s="22"/>
      <c r="FGZ57" s="22"/>
      <c r="FHA57" s="22"/>
      <c r="FHB57" s="22"/>
      <c r="FHC57" s="22"/>
      <c r="FHD57" s="22"/>
      <c r="FHE57" s="22"/>
      <c r="FHF57" s="22"/>
      <c r="FHG57" s="22"/>
      <c r="FHH57" s="22"/>
      <c r="FHI57" s="22"/>
      <c r="FHJ57" s="22"/>
      <c r="FHK57" s="22"/>
      <c r="FHL57" s="22"/>
      <c r="FHM57" s="22"/>
      <c r="FHN57" s="22"/>
      <c r="FHO57" s="22"/>
      <c r="FHP57" s="22"/>
      <c r="FHQ57" s="22"/>
      <c r="FHR57" s="22"/>
      <c r="FHS57" s="22"/>
      <c r="FHT57" s="22"/>
      <c r="FHU57" s="22"/>
      <c r="FHV57" s="22"/>
      <c r="FHW57" s="22"/>
      <c r="FHX57" s="22"/>
      <c r="FHY57" s="22"/>
      <c r="FHZ57" s="22"/>
      <c r="FIA57" s="22"/>
      <c r="FIB57" s="22"/>
      <c r="FIC57" s="22"/>
      <c r="FID57" s="22"/>
      <c r="FIE57" s="22"/>
      <c r="FIF57" s="22"/>
      <c r="FIG57" s="22"/>
      <c r="FIH57" s="22"/>
      <c r="FII57" s="22"/>
      <c r="FIJ57" s="22"/>
      <c r="FIK57" s="22"/>
      <c r="FIL57" s="22"/>
      <c r="FIM57" s="22"/>
      <c r="FIN57" s="22"/>
      <c r="FIO57" s="22"/>
      <c r="FIP57" s="22"/>
      <c r="FIQ57" s="22"/>
      <c r="FIR57" s="22"/>
      <c r="FIS57" s="22"/>
      <c r="FIT57" s="22"/>
      <c r="FIU57" s="22"/>
      <c r="FIV57" s="22"/>
      <c r="FIW57" s="22"/>
      <c r="FIX57" s="22"/>
      <c r="FIY57" s="22"/>
      <c r="FIZ57" s="22"/>
      <c r="FJA57" s="22"/>
      <c r="FJB57" s="22"/>
      <c r="FJC57" s="22"/>
      <c r="FJD57" s="22"/>
      <c r="FJE57" s="22"/>
      <c r="FJF57" s="22"/>
      <c r="FJG57" s="22"/>
      <c r="FJH57" s="22"/>
      <c r="FJI57" s="22"/>
      <c r="FJJ57" s="22"/>
      <c r="FJK57" s="22"/>
      <c r="FJL57" s="22"/>
      <c r="FJM57" s="22"/>
      <c r="FJN57" s="22"/>
      <c r="FJO57" s="22"/>
      <c r="FJP57" s="22"/>
      <c r="FJQ57" s="22"/>
      <c r="FJR57" s="22"/>
      <c r="FJS57" s="22"/>
      <c r="FJT57" s="22"/>
      <c r="FJU57" s="22"/>
      <c r="FJV57" s="22"/>
      <c r="FJW57" s="22"/>
      <c r="FJX57" s="22"/>
      <c r="FJY57" s="22"/>
      <c r="FJZ57" s="22"/>
      <c r="FKA57" s="22"/>
      <c r="FKB57" s="22"/>
      <c r="FKC57" s="22"/>
      <c r="FKD57" s="22"/>
      <c r="FKE57" s="22"/>
      <c r="FKF57" s="22"/>
      <c r="FKG57" s="22"/>
      <c r="FKH57" s="22"/>
      <c r="FKI57" s="22"/>
      <c r="FKJ57" s="22"/>
      <c r="FKK57" s="22"/>
      <c r="FKL57" s="22"/>
      <c r="FKM57" s="22"/>
      <c r="FKN57" s="22"/>
      <c r="FKO57" s="22"/>
      <c r="FKP57" s="22"/>
      <c r="FKQ57" s="22"/>
      <c r="FKR57" s="22"/>
      <c r="FKS57" s="22"/>
      <c r="FKT57" s="22"/>
      <c r="FKU57" s="22"/>
      <c r="FKV57" s="22"/>
      <c r="FKW57" s="22"/>
      <c r="FKX57" s="22"/>
      <c r="FKY57" s="22"/>
      <c r="FKZ57" s="22"/>
      <c r="FLA57" s="22"/>
      <c r="FLB57" s="22"/>
      <c r="FLC57" s="22"/>
      <c r="FLD57" s="22"/>
      <c r="FLE57" s="22"/>
      <c r="FLF57" s="22"/>
      <c r="FLG57" s="22"/>
      <c r="FLH57" s="22"/>
      <c r="FLI57" s="22"/>
      <c r="FLJ57" s="22"/>
      <c r="FLK57" s="22"/>
      <c r="FLL57" s="22"/>
      <c r="FLM57" s="22"/>
      <c r="FLN57" s="22"/>
      <c r="FLO57" s="22"/>
      <c r="FLP57" s="22"/>
      <c r="FLQ57" s="22"/>
      <c r="FLR57" s="22"/>
      <c r="FLS57" s="22"/>
      <c r="FLT57" s="22"/>
      <c r="FLU57" s="22"/>
      <c r="FLV57" s="22"/>
      <c r="FLW57" s="22"/>
      <c r="FLX57" s="22"/>
      <c r="FLY57" s="22"/>
      <c r="FLZ57" s="22"/>
      <c r="FMA57" s="22"/>
      <c r="FMB57" s="22"/>
      <c r="FMC57" s="22"/>
      <c r="FMD57" s="22"/>
      <c r="FME57" s="22"/>
      <c r="FMF57" s="22"/>
      <c r="FMG57" s="22"/>
      <c r="FMH57" s="22"/>
      <c r="FMI57" s="22"/>
      <c r="FMJ57" s="22"/>
      <c r="FMK57" s="22"/>
      <c r="FML57" s="22"/>
      <c r="FMM57" s="22"/>
      <c r="FMN57" s="22"/>
      <c r="FMO57" s="22"/>
      <c r="FMP57" s="22"/>
      <c r="FMQ57" s="22"/>
      <c r="FMR57" s="22"/>
      <c r="FMS57" s="22"/>
      <c r="FMT57" s="22"/>
      <c r="FMU57" s="22"/>
      <c r="FMV57" s="22"/>
      <c r="FMW57" s="22"/>
      <c r="FMX57" s="22"/>
      <c r="FMY57" s="22"/>
      <c r="FMZ57" s="22"/>
      <c r="FNA57" s="22"/>
      <c r="FNB57" s="22"/>
      <c r="FNC57" s="22"/>
      <c r="FND57" s="22"/>
      <c r="FNE57" s="22"/>
      <c r="FNF57" s="22"/>
      <c r="FNG57" s="22"/>
      <c r="FNH57" s="22"/>
      <c r="FNI57" s="22"/>
      <c r="FNJ57" s="22"/>
      <c r="FNK57" s="22"/>
      <c r="FNL57" s="22"/>
      <c r="FNM57" s="22"/>
      <c r="FNN57" s="22"/>
      <c r="FNO57" s="22"/>
      <c r="FNP57" s="22"/>
      <c r="FNQ57" s="22"/>
      <c r="FNR57" s="22"/>
      <c r="FNS57" s="22"/>
      <c r="FNT57" s="22"/>
      <c r="FNU57" s="22"/>
      <c r="FNV57" s="22"/>
      <c r="FNW57" s="22"/>
      <c r="FNX57" s="22"/>
      <c r="FNY57" s="22"/>
      <c r="FNZ57" s="22"/>
      <c r="FOA57" s="22"/>
      <c r="FOB57" s="22"/>
      <c r="FOC57" s="22"/>
      <c r="FOD57" s="22"/>
      <c r="FOE57" s="22"/>
      <c r="FOF57" s="22"/>
      <c r="FOG57" s="22"/>
      <c r="FOH57" s="22"/>
      <c r="FOI57" s="22"/>
      <c r="FOJ57" s="22"/>
      <c r="FOK57" s="22"/>
      <c r="FOL57" s="22"/>
      <c r="FOM57" s="22"/>
      <c r="FON57" s="22"/>
      <c r="FOO57" s="22"/>
      <c r="FOP57" s="22"/>
      <c r="FOQ57" s="22"/>
      <c r="FOR57" s="22"/>
      <c r="FOS57" s="22"/>
      <c r="FOT57" s="22"/>
      <c r="FOU57" s="22"/>
      <c r="FOV57" s="22"/>
      <c r="FOW57" s="22"/>
      <c r="FOX57" s="22"/>
      <c r="FOY57" s="22"/>
      <c r="FOZ57" s="22"/>
      <c r="FPA57" s="22"/>
      <c r="FPB57" s="22"/>
      <c r="FPC57" s="22"/>
      <c r="FPD57" s="22"/>
      <c r="FPE57" s="22"/>
      <c r="FPF57" s="22"/>
      <c r="FPG57" s="22"/>
      <c r="FPH57" s="22"/>
      <c r="FPI57" s="22"/>
      <c r="FPJ57" s="22"/>
      <c r="FPK57" s="22"/>
      <c r="FPL57" s="22"/>
      <c r="FPM57" s="22"/>
      <c r="FPN57" s="22"/>
      <c r="FPO57" s="22"/>
      <c r="FPP57" s="22"/>
      <c r="FPQ57" s="22"/>
      <c r="FPR57" s="22"/>
      <c r="FPS57" s="22"/>
      <c r="FPT57" s="22"/>
      <c r="FPU57" s="22"/>
      <c r="FPV57" s="22"/>
      <c r="FPW57" s="22"/>
      <c r="FPX57" s="22"/>
      <c r="FPY57" s="22"/>
      <c r="FPZ57" s="22"/>
      <c r="FQA57" s="22"/>
      <c r="FQB57" s="22"/>
      <c r="FQC57" s="22"/>
      <c r="FQD57" s="22"/>
      <c r="FQE57" s="22"/>
      <c r="FQF57" s="22"/>
      <c r="FQG57" s="22"/>
      <c r="FQH57" s="22"/>
      <c r="FQI57" s="22"/>
      <c r="FQJ57" s="22"/>
      <c r="FQK57" s="22"/>
      <c r="FQL57" s="22"/>
      <c r="FQM57" s="22"/>
      <c r="FQN57" s="22"/>
      <c r="FQO57" s="22"/>
      <c r="FQP57" s="22"/>
      <c r="FQQ57" s="22"/>
      <c r="FQR57" s="22"/>
      <c r="FQS57" s="22"/>
      <c r="FQT57" s="22"/>
      <c r="FQU57" s="22"/>
      <c r="FQV57" s="22"/>
      <c r="FQW57" s="22"/>
      <c r="FQX57" s="22"/>
      <c r="FQY57" s="22"/>
      <c r="FQZ57" s="22"/>
      <c r="FRA57" s="22"/>
      <c r="FRB57" s="22"/>
      <c r="FRC57" s="22"/>
      <c r="FRD57" s="22"/>
      <c r="FRE57" s="22"/>
      <c r="FRF57" s="22"/>
      <c r="FRG57" s="22"/>
      <c r="FRH57" s="22"/>
      <c r="FRI57" s="22"/>
      <c r="FRJ57" s="22"/>
      <c r="FRK57" s="22"/>
      <c r="FRL57" s="22"/>
      <c r="FRM57" s="22"/>
      <c r="FRN57" s="22"/>
      <c r="FRO57" s="22"/>
      <c r="FRP57" s="22"/>
      <c r="FRQ57" s="22"/>
      <c r="FRR57" s="22"/>
      <c r="FRS57" s="22"/>
      <c r="FRT57" s="22"/>
      <c r="FRU57" s="22"/>
      <c r="FRV57" s="22"/>
      <c r="FRW57" s="22"/>
      <c r="FRX57" s="22"/>
      <c r="FRY57" s="22"/>
      <c r="FRZ57" s="22"/>
      <c r="FSA57" s="22"/>
      <c r="FSB57" s="22"/>
      <c r="FSC57" s="22"/>
      <c r="FSD57" s="22"/>
      <c r="FSE57" s="22"/>
      <c r="FSF57" s="22"/>
      <c r="FSG57" s="22"/>
      <c r="FSH57" s="22"/>
      <c r="FSI57" s="22"/>
      <c r="FSJ57" s="22"/>
      <c r="FSK57" s="22"/>
      <c r="FSL57" s="22"/>
      <c r="FSM57" s="22"/>
      <c r="FSN57" s="22"/>
      <c r="FSO57" s="22"/>
      <c r="FSP57" s="22"/>
      <c r="FSQ57" s="22"/>
      <c r="FSR57" s="22"/>
      <c r="FSS57" s="22"/>
      <c r="FST57" s="22"/>
      <c r="FSU57" s="22"/>
      <c r="FSV57" s="22"/>
      <c r="FSW57" s="22"/>
      <c r="FSX57" s="22"/>
      <c r="FSY57" s="22"/>
    </row>
    <row r="58" spans="1:4575" x14ac:dyDescent="0.3">
      <c r="A58" s="327" t="s">
        <v>149</v>
      </c>
      <c r="B58" s="51" t="s">
        <v>166</v>
      </c>
      <c r="C58" s="51" t="s">
        <v>162</v>
      </c>
      <c r="D58" s="383">
        <v>16340</v>
      </c>
      <c r="E58" s="19">
        <v>11</v>
      </c>
      <c r="F58" s="8" t="s">
        <v>16</v>
      </c>
      <c r="G58" s="13" t="s">
        <v>49</v>
      </c>
      <c r="H58" s="33">
        <v>129</v>
      </c>
      <c r="I58" s="206">
        <v>957992.1913005003</v>
      </c>
      <c r="J58" s="104">
        <v>924528.92</v>
      </c>
      <c r="K58" s="82">
        <f>I58-J58</f>
        <v>33463.271300500259</v>
      </c>
      <c r="L58" s="82">
        <f t="shared" ref="L58:L63" si="32">J58*20%</f>
        <v>184905.78400000001</v>
      </c>
      <c r="M58" s="82"/>
      <c r="N58" s="82"/>
      <c r="O58" s="82"/>
      <c r="P58" s="82"/>
      <c r="Q58" s="82"/>
      <c r="R58" s="82"/>
      <c r="S58" s="82"/>
      <c r="T58" s="82"/>
      <c r="U58" s="84">
        <f t="shared" si="23"/>
        <v>0</v>
      </c>
      <c r="V58" s="85">
        <f t="shared" si="24"/>
        <v>184905.78400000001</v>
      </c>
      <c r="W58" s="86">
        <f t="shared" ref="W58:W68" si="33">I58-V58</f>
        <v>773086.40730050032</v>
      </c>
      <c r="X58" s="328">
        <f t="shared" ref="X58:X63" si="34">K58-W58</f>
        <v>-739623.13600000006</v>
      </c>
    </row>
    <row r="59" spans="1:4575" x14ac:dyDescent="0.3">
      <c r="A59" s="327" t="s">
        <v>149</v>
      </c>
      <c r="B59" s="51" t="s">
        <v>166</v>
      </c>
      <c r="C59" s="51" t="s">
        <v>162</v>
      </c>
      <c r="D59" s="383">
        <v>16340</v>
      </c>
      <c r="E59" s="6">
        <v>12</v>
      </c>
      <c r="F59" s="9" t="s">
        <v>16</v>
      </c>
      <c r="G59" s="10" t="s">
        <v>50</v>
      </c>
      <c r="H59" s="23">
        <v>105</v>
      </c>
      <c r="I59" s="46">
        <v>895601.91391050024</v>
      </c>
      <c r="J59" s="105">
        <v>849850.88</v>
      </c>
      <c r="K59" s="81">
        <f t="shared" ref="K59:K63" si="35">I59-J59</f>
        <v>45751.033910500235</v>
      </c>
      <c r="L59" s="81">
        <f t="shared" si="32"/>
        <v>169970.17600000001</v>
      </c>
      <c r="M59" s="81"/>
      <c r="N59" s="81"/>
      <c r="O59" s="81"/>
      <c r="P59" s="81"/>
      <c r="Q59" s="81"/>
      <c r="R59" s="81"/>
      <c r="S59" s="81"/>
      <c r="T59" s="81"/>
      <c r="U59" s="79">
        <f t="shared" si="23"/>
        <v>0</v>
      </c>
      <c r="V59" s="80">
        <f t="shared" si="24"/>
        <v>169970.17600000001</v>
      </c>
      <c r="W59" s="94">
        <f t="shared" si="33"/>
        <v>725631.73791050026</v>
      </c>
      <c r="X59" s="328">
        <f t="shared" si="34"/>
        <v>-679880.70400000003</v>
      </c>
    </row>
    <row r="60" spans="1:4575" x14ac:dyDescent="0.3">
      <c r="A60" s="327" t="s">
        <v>149</v>
      </c>
      <c r="B60" s="51" t="s">
        <v>166</v>
      </c>
      <c r="C60" s="51" t="s">
        <v>162</v>
      </c>
      <c r="D60" s="383">
        <v>16340</v>
      </c>
      <c r="E60" s="6">
        <v>13</v>
      </c>
      <c r="F60" s="9" t="s">
        <v>16</v>
      </c>
      <c r="G60" s="16" t="s">
        <v>51</v>
      </c>
      <c r="H60" s="23">
        <v>75</v>
      </c>
      <c r="I60" s="46">
        <v>668232.31271615904</v>
      </c>
      <c r="J60" s="105">
        <v>667632.81000000006</v>
      </c>
      <c r="K60" s="81">
        <f t="shared" si="35"/>
        <v>599.50271615898237</v>
      </c>
      <c r="L60" s="81">
        <f t="shared" si="32"/>
        <v>133526.56200000001</v>
      </c>
      <c r="M60" s="81"/>
      <c r="N60" s="81"/>
      <c r="O60" s="81"/>
      <c r="P60" s="81"/>
      <c r="Q60" s="81"/>
      <c r="R60" s="81"/>
      <c r="S60" s="81"/>
      <c r="T60" s="81"/>
      <c r="U60" s="79">
        <f t="shared" si="23"/>
        <v>0</v>
      </c>
      <c r="V60" s="80">
        <f t="shared" si="24"/>
        <v>133526.56200000001</v>
      </c>
      <c r="W60" s="94">
        <f t="shared" si="33"/>
        <v>534705.750716159</v>
      </c>
      <c r="X60" s="328">
        <f t="shared" si="34"/>
        <v>-534106.24800000002</v>
      </c>
    </row>
    <row r="61" spans="1:4575" x14ac:dyDescent="0.3">
      <c r="A61" s="327" t="s">
        <v>149</v>
      </c>
      <c r="B61" s="51" t="s">
        <v>166</v>
      </c>
      <c r="C61" s="51" t="s">
        <v>162</v>
      </c>
      <c r="D61" s="383">
        <v>16340</v>
      </c>
      <c r="E61" s="6">
        <v>14</v>
      </c>
      <c r="F61" s="9" t="s">
        <v>16</v>
      </c>
      <c r="G61" s="16" t="s">
        <v>52</v>
      </c>
      <c r="H61" s="23">
        <v>45</v>
      </c>
      <c r="I61" s="46">
        <v>281073.73719675053</v>
      </c>
      <c r="J61" s="105">
        <v>287159.2</v>
      </c>
      <c r="K61" s="81">
        <f t="shared" si="35"/>
        <v>-6085.4628032494802</v>
      </c>
      <c r="L61" s="81">
        <f t="shared" si="32"/>
        <v>57431.840000000004</v>
      </c>
      <c r="M61" s="81"/>
      <c r="N61" s="81"/>
      <c r="O61" s="81"/>
      <c r="P61" s="81"/>
      <c r="Q61" s="81"/>
      <c r="R61" s="81"/>
      <c r="S61" s="81"/>
      <c r="T61" s="81"/>
      <c r="U61" s="79">
        <f t="shared" si="23"/>
        <v>0</v>
      </c>
      <c r="V61" s="80">
        <f t="shared" si="24"/>
        <v>57431.840000000004</v>
      </c>
      <c r="W61" s="94">
        <f t="shared" si="33"/>
        <v>223641.89719675053</v>
      </c>
      <c r="X61" s="328">
        <f t="shared" si="34"/>
        <v>-229727.36000000002</v>
      </c>
    </row>
    <row r="62" spans="1:4575" x14ac:dyDescent="0.3">
      <c r="A62" s="327" t="s">
        <v>149</v>
      </c>
      <c r="B62" s="51" t="s">
        <v>166</v>
      </c>
      <c r="C62" s="51" t="s">
        <v>162</v>
      </c>
      <c r="D62" s="383">
        <v>16340</v>
      </c>
      <c r="E62" s="6">
        <v>15</v>
      </c>
      <c r="F62" s="9" t="s">
        <v>16</v>
      </c>
      <c r="G62" s="14" t="s">
        <v>53</v>
      </c>
      <c r="H62" s="23">
        <v>90</v>
      </c>
      <c r="I62" s="46">
        <v>850618.86</v>
      </c>
      <c r="J62" s="105">
        <v>629687.72</v>
      </c>
      <c r="K62" s="81">
        <f t="shared" si="35"/>
        <v>220931.14</v>
      </c>
      <c r="L62" s="81">
        <f t="shared" si="32"/>
        <v>125937.54399999999</v>
      </c>
      <c r="M62" s="81"/>
      <c r="N62" s="81"/>
      <c r="O62" s="81"/>
      <c r="P62" s="81"/>
      <c r="Q62" s="81"/>
      <c r="R62" s="81"/>
      <c r="S62" s="81"/>
      <c r="T62" s="81"/>
      <c r="U62" s="79">
        <f t="shared" si="23"/>
        <v>0</v>
      </c>
      <c r="V62" s="80">
        <f t="shared" si="24"/>
        <v>125937.54399999999</v>
      </c>
      <c r="W62" s="94">
        <f t="shared" si="33"/>
        <v>724681.31599999999</v>
      </c>
      <c r="X62" s="328">
        <f t="shared" si="34"/>
        <v>-503750.17599999998</v>
      </c>
    </row>
    <row r="63" spans="1:4575" x14ac:dyDescent="0.3">
      <c r="A63" s="327" t="s">
        <v>149</v>
      </c>
      <c r="B63" s="51" t="s">
        <v>166</v>
      </c>
      <c r="C63" s="51" t="s">
        <v>162</v>
      </c>
      <c r="D63" s="383">
        <v>16340</v>
      </c>
      <c r="E63" s="6">
        <v>16</v>
      </c>
      <c r="F63" s="9" t="s">
        <v>16</v>
      </c>
      <c r="G63" s="16" t="s">
        <v>54</v>
      </c>
      <c r="H63" s="23">
        <v>84</v>
      </c>
      <c r="I63" s="46">
        <v>312637.96000000002</v>
      </c>
      <c r="J63" s="105">
        <v>319546.39</v>
      </c>
      <c r="K63" s="81">
        <f t="shared" si="35"/>
        <v>-6908.429999999993</v>
      </c>
      <c r="L63" s="81">
        <f t="shared" si="32"/>
        <v>63909.278000000006</v>
      </c>
      <c r="M63" s="81"/>
      <c r="N63" s="81"/>
      <c r="O63" s="81"/>
      <c r="P63" s="81"/>
      <c r="Q63" s="81"/>
      <c r="R63" s="81"/>
      <c r="S63" s="81"/>
      <c r="T63" s="81"/>
      <c r="U63" s="79">
        <f t="shared" si="23"/>
        <v>0</v>
      </c>
      <c r="V63" s="80">
        <f t="shared" si="24"/>
        <v>63909.278000000006</v>
      </c>
      <c r="W63" s="94">
        <f t="shared" si="33"/>
        <v>248728.68200000003</v>
      </c>
      <c r="X63" s="328">
        <f t="shared" si="34"/>
        <v>-255637.11200000002</v>
      </c>
    </row>
    <row r="64" spans="1:4575" s="31" customFormat="1" x14ac:dyDescent="0.3">
      <c r="A64" s="329" t="s">
        <v>151</v>
      </c>
      <c r="B64" s="329"/>
      <c r="C64" s="67"/>
      <c r="D64" s="390"/>
      <c r="E64" s="68"/>
      <c r="F64" s="69"/>
      <c r="G64" s="72"/>
      <c r="H64" s="71">
        <f>SUM(H58:H63)</f>
        <v>528</v>
      </c>
      <c r="I64" s="199">
        <f t="shared" ref="I64:X64" si="36">SUM(I58:I63)</f>
        <v>3966156.9751239098</v>
      </c>
      <c r="J64" s="199">
        <f t="shared" si="36"/>
        <v>3678405.9200000004</v>
      </c>
      <c r="K64" s="199">
        <f t="shared" si="36"/>
        <v>287751.05512391002</v>
      </c>
      <c r="L64" s="199">
        <f t="shared" si="36"/>
        <v>735681.18400000001</v>
      </c>
      <c r="M64" s="199">
        <f t="shared" si="36"/>
        <v>0</v>
      </c>
      <c r="N64" s="199">
        <f t="shared" si="36"/>
        <v>0</v>
      </c>
      <c r="O64" s="199">
        <f t="shared" si="36"/>
        <v>0</v>
      </c>
      <c r="P64" s="199">
        <f t="shared" si="36"/>
        <v>0</v>
      </c>
      <c r="Q64" s="199">
        <f t="shared" si="36"/>
        <v>0</v>
      </c>
      <c r="R64" s="199">
        <f t="shared" si="36"/>
        <v>0</v>
      </c>
      <c r="S64" s="199">
        <f t="shared" si="36"/>
        <v>0</v>
      </c>
      <c r="T64" s="199">
        <f t="shared" si="36"/>
        <v>0</v>
      </c>
      <c r="U64" s="199">
        <f t="shared" si="36"/>
        <v>0</v>
      </c>
      <c r="V64" s="199">
        <f t="shared" si="36"/>
        <v>735681.18400000001</v>
      </c>
      <c r="W64" s="199">
        <f t="shared" si="36"/>
        <v>3230475.7911239103</v>
      </c>
      <c r="X64" s="330">
        <f t="shared" si="36"/>
        <v>-2942724.736</v>
      </c>
    </row>
    <row r="65" spans="1:24" x14ac:dyDescent="0.3">
      <c r="A65" s="327" t="s">
        <v>150</v>
      </c>
      <c r="B65" s="51" t="s">
        <v>167</v>
      </c>
      <c r="C65" s="47" t="s">
        <v>163</v>
      </c>
      <c r="D65" s="6">
        <v>16879</v>
      </c>
      <c r="E65" s="6">
        <v>6</v>
      </c>
      <c r="F65" s="10" t="s">
        <v>45</v>
      </c>
      <c r="G65" s="9" t="s">
        <v>55</v>
      </c>
      <c r="H65" s="23">
        <v>144</v>
      </c>
      <c r="I65" s="46">
        <v>3446792.1987980008</v>
      </c>
      <c r="J65" s="105">
        <v>3102360.26</v>
      </c>
      <c r="K65" s="81">
        <f t="shared" ref="K65:K68" si="37">I65-J65</f>
        <v>344431.93879800104</v>
      </c>
      <c r="L65" s="81">
        <v>0</v>
      </c>
      <c r="M65" s="81"/>
      <c r="N65" s="81"/>
      <c r="O65" s="81"/>
      <c r="P65" s="81"/>
      <c r="Q65" s="81"/>
      <c r="R65" s="81"/>
      <c r="S65" s="81"/>
      <c r="T65" s="81"/>
      <c r="U65" s="79">
        <f>SUM(M65:T65)</f>
        <v>0</v>
      </c>
      <c r="V65" s="80">
        <f t="shared" si="24"/>
        <v>0</v>
      </c>
      <c r="W65" s="94">
        <f t="shared" si="33"/>
        <v>3446792.1987980008</v>
      </c>
      <c r="X65" s="328">
        <f t="shared" ref="X65:X68" si="38">K65-W65</f>
        <v>-3102360.26</v>
      </c>
    </row>
    <row r="66" spans="1:24" x14ac:dyDescent="0.3">
      <c r="A66" s="327" t="s">
        <v>150</v>
      </c>
      <c r="B66" s="51" t="s">
        <v>167</v>
      </c>
      <c r="C66" s="47" t="s">
        <v>163</v>
      </c>
      <c r="D66" s="6">
        <v>16879</v>
      </c>
      <c r="E66" s="6">
        <v>7</v>
      </c>
      <c r="F66" s="10" t="s">
        <v>45</v>
      </c>
      <c r="G66" s="10" t="s">
        <v>49</v>
      </c>
      <c r="H66" s="23">
        <v>129</v>
      </c>
      <c r="I66" s="46">
        <v>3134894.9754646677</v>
      </c>
      <c r="J66" s="105">
        <v>2970398.26</v>
      </c>
      <c r="K66" s="81">
        <f t="shared" si="37"/>
        <v>164496.71546466788</v>
      </c>
      <c r="L66" s="81">
        <v>0</v>
      </c>
      <c r="M66" s="81"/>
      <c r="N66" s="81"/>
      <c r="O66" s="81"/>
      <c r="P66" s="81"/>
      <c r="Q66" s="81"/>
      <c r="R66" s="81"/>
      <c r="S66" s="81"/>
      <c r="T66" s="81"/>
      <c r="U66" s="79">
        <f t="shared" si="23"/>
        <v>0</v>
      </c>
      <c r="V66" s="80">
        <f t="shared" si="24"/>
        <v>0</v>
      </c>
      <c r="W66" s="94">
        <f t="shared" si="33"/>
        <v>3134894.9754646677</v>
      </c>
      <c r="X66" s="328">
        <f t="shared" si="38"/>
        <v>-2970398.26</v>
      </c>
    </row>
    <row r="67" spans="1:24" x14ac:dyDescent="0.3">
      <c r="A67" s="327" t="s">
        <v>150</v>
      </c>
      <c r="B67" s="51" t="s">
        <v>167</v>
      </c>
      <c r="C67" s="47" t="s">
        <v>163</v>
      </c>
      <c r="D67" s="6">
        <v>16879</v>
      </c>
      <c r="E67" s="6">
        <v>8</v>
      </c>
      <c r="F67" s="10" t="s">
        <v>45</v>
      </c>
      <c r="G67" s="9" t="s">
        <v>56</v>
      </c>
      <c r="H67" s="23">
        <v>135</v>
      </c>
      <c r="I67" s="46">
        <v>3134894.9754646677</v>
      </c>
      <c r="J67" s="105">
        <v>2970398.26</v>
      </c>
      <c r="K67" s="81">
        <f t="shared" si="37"/>
        <v>164496.71546466788</v>
      </c>
      <c r="L67" s="81">
        <v>0</v>
      </c>
      <c r="M67" s="81"/>
      <c r="N67" s="81"/>
      <c r="O67" s="81"/>
      <c r="P67" s="81"/>
      <c r="Q67" s="81"/>
      <c r="R67" s="81"/>
      <c r="S67" s="81"/>
      <c r="T67" s="81"/>
      <c r="U67" s="79">
        <f t="shared" si="23"/>
        <v>0</v>
      </c>
      <c r="V67" s="80">
        <f t="shared" si="24"/>
        <v>0</v>
      </c>
      <c r="W67" s="94">
        <f t="shared" si="33"/>
        <v>3134894.9754646677</v>
      </c>
      <c r="X67" s="328">
        <f t="shared" si="38"/>
        <v>-2970398.26</v>
      </c>
    </row>
    <row r="68" spans="1:24" ht="16.5" customHeight="1" x14ac:dyDescent="0.3">
      <c r="A68" s="327" t="s">
        <v>150</v>
      </c>
      <c r="B68" s="51" t="s">
        <v>167</v>
      </c>
      <c r="C68" s="47" t="s">
        <v>163</v>
      </c>
      <c r="D68" s="6">
        <v>16879</v>
      </c>
      <c r="E68" s="6">
        <v>9</v>
      </c>
      <c r="F68" s="10" t="s">
        <v>45</v>
      </c>
      <c r="G68" s="10" t="s">
        <v>57</v>
      </c>
      <c r="H68" s="23">
        <v>150</v>
      </c>
      <c r="I68" s="46">
        <v>3134894.9754646677</v>
      </c>
      <c r="J68" s="105">
        <v>2970398.26</v>
      </c>
      <c r="K68" s="81">
        <f t="shared" si="37"/>
        <v>164496.71546466788</v>
      </c>
      <c r="L68" s="81">
        <v>0</v>
      </c>
      <c r="M68" s="81"/>
      <c r="N68" s="81"/>
      <c r="O68" s="81"/>
      <c r="P68" s="81"/>
      <c r="Q68" s="81"/>
      <c r="R68" s="81"/>
      <c r="S68" s="81"/>
      <c r="T68" s="81"/>
      <c r="U68" s="79">
        <f t="shared" si="23"/>
        <v>0</v>
      </c>
      <c r="V68" s="80">
        <f t="shared" si="24"/>
        <v>0</v>
      </c>
      <c r="W68" s="94">
        <f t="shared" si="33"/>
        <v>3134894.9754646677</v>
      </c>
      <c r="X68" s="328">
        <f t="shared" si="38"/>
        <v>-2970398.26</v>
      </c>
    </row>
    <row r="69" spans="1:24" ht="16.5" customHeight="1" thickBot="1" x14ac:dyDescent="0.35">
      <c r="A69" s="327" t="s">
        <v>152</v>
      </c>
      <c r="C69" s="368"/>
      <c r="D69" s="368"/>
      <c r="E69" s="368"/>
      <c r="F69" s="368"/>
      <c r="G69" s="368"/>
      <c r="H69" s="361">
        <f>SUM(H65:H68)</f>
        <v>558</v>
      </c>
      <c r="I69" s="361">
        <f t="shared" ref="I69:X69" si="39">SUM(I65:I68)</f>
        <v>12851477.125192005</v>
      </c>
      <c r="J69" s="361">
        <f t="shared" si="39"/>
        <v>12013555.039999999</v>
      </c>
      <c r="K69" s="361">
        <f t="shared" si="39"/>
        <v>837922.08519200468</v>
      </c>
      <c r="L69" s="361">
        <f t="shared" si="39"/>
        <v>0</v>
      </c>
      <c r="M69" s="361">
        <f t="shared" si="39"/>
        <v>0</v>
      </c>
      <c r="N69" s="361">
        <f t="shared" si="39"/>
        <v>0</v>
      </c>
      <c r="O69" s="361">
        <f t="shared" si="39"/>
        <v>0</v>
      </c>
      <c r="P69" s="361">
        <f t="shared" si="39"/>
        <v>0</v>
      </c>
      <c r="Q69" s="361">
        <f t="shared" si="39"/>
        <v>0</v>
      </c>
      <c r="R69" s="361">
        <f t="shared" si="39"/>
        <v>0</v>
      </c>
      <c r="S69" s="361">
        <f t="shared" si="39"/>
        <v>0</v>
      </c>
      <c r="T69" s="361">
        <f t="shared" si="39"/>
        <v>0</v>
      </c>
      <c r="U69" s="361">
        <f t="shared" si="39"/>
        <v>0</v>
      </c>
      <c r="V69" s="361">
        <f t="shared" si="39"/>
        <v>0</v>
      </c>
      <c r="W69" s="361">
        <f t="shared" si="39"/>
        <v>12851477.125192005</v>
      </c>
      <c r="X69" s="362">
        <f t="shared" si="39"/>
        <v>-12013555.039999999</v>
      </c>
    </row>
    <row r="70" spans="1:24" s="194" customFormat="1" ht="16.2" thickBot="1" x14ac:dyDescent="0.35">
      <c r="A70" s="333" t="s">
        <v>148</v>
      </c>
      <c r="B70" s="333"/>
      <c r="C70" s="358"/>
      <c r="D70" s="392"/>
      <c r="E70" s="338"/>
      <c r="F70" s="359"/>
      <c r="G70" s="340"/>
      <c r="H70" s="340">
        <f t="shared" ref="H70:X70" si="40">H64+H69</f>
        <v>1086</v>
      </c>
      <c r="I70" s="340">
        <f t="shared" si="40"/>
        <v>16817634.100315914</v>
      </c>
      <c r="J70" s="340">
        <f t="shared" si="40"/>
        <v>15691960.959999999</v>
      </c>
      <c r="K70" s="340">
        <f t="shared" si="40"/>
        <v>1125673.1403159148</v>
      </c>
      <c r="L70" s="340">
        <f t="shared" si="40"/>
        <v>735681.18400000001</v>
      </c>
      <c r="M70" s="340">
        <f t="shared" si="40"/>
        <v>0</v>
      </c>
      <c r="N70" s="340">
        <f t="shared" si="40"/>
        <v>0</v>
      </c>
      <c r="O70" s="340">
        <f t="shared" si="40"/>
        <v>0</v>
      </c>
      <c r="P70" s="340">
        <f t="shared" si="40"/>
        <v>0</v>
      </c>
      <c r="Q70" s="340">
        <f t="shared" si="40"/>
        <v>0</v>
      </c>
      <c r="R70" s="340">
        <f t="shared" si="40"/>
        <v>0</v>
      </c>
      <c r="S70" s="340">
        <f t="shared" si="40"/>
        <v>0</v>
      </c>
      <c r="T70" s="340">
        <f t="shared" si="40"/>
        <v>0</v>
      </c>
      <c r="U70" s="340">
        <f t="shared" si="40"/>
        <v>0</v>
      </c>
      <c r="V70" s="340">
        <f t="shared" si="40"/>
        <v>735681.18400000001</v>
      </c>
      <c r="W70" s="340">
        <f t="shared" si="40"/>
        <v>16081952.916315915</v>
      </c>
      <c r="X70" s="341">
        <f t="shared" si="40"/>
        <v>-14956279.775999999</v>
      </c>
    </row>
    <row r="71" spans="1:24" ht="31.8" thickBot="1" x14ac:dyDescent="0.35">
      <c r="A71" s="327" t="s">
        <v>148</v>
      </c>
      <c r="B71" s="327" t="s">
        <v>168</v>
      </c>
      <c r="C71" s="163" t="s">
        <v>164</v>
      </c>
      <c r="D71" s="393" t="s">
        <v>169</v>
      </c>
      <c r="E71" s="164" t="s">
        <v>173</v>
      </c>
      <c r="F71" s="409" t="s">
        <v>58</v>
      </c>
      <c r="G71" s="409"/>
      <c r="H71" s="165" t="s">
        <v>4</v>
      </c>
      <c r="I71" s="165" t="s">
        <v>5</v>
      </c>
      <c r="J71" s="166" t="s">
        <v>131</v>
      </c>
      <c r="K71" s="117" t="s">
        <v>145</v>
      </c>
      <c r="L71" s="167">
        <v>0.2</v>
      </c>
      <c r="M71" s="165" t="s">
        <v>132</v>
      </c>
      <c r="N71" s="165" t="s">
        <v>133</v>
      </c>
      <c r="O71" s="165" t="s">
        <v>134</v>
      </c>
      <c r="P71" s="165" t="s">
        <v>135</v>
      </c>
      <c r="Q71" s="165" t="s">
        <v>136</v>
      </c>
      <c r="R71" s="165" t="s">
        <v>137</v>
      </c>
      <c r="S71" s="165" t="s">
        <v>138</v>
      </c>
      <c r="T71" s="165" t="s">
        <v>139</v>
      </c>
      <c r="U71" s="164" t="s">
        <v>140</v>
      </c>
      <c r="V71" s="165" t="s">
        <v>144</v>
      </c>
      <c r="W71" s="168" t="s">
        <v>141</v>
      </c>
      <c r="X71" s="252" t="s">
        <v>160</v>
      </c>
    </row>
    <row r="72" spans="1:24" x14ac:dyDescent="0.3">
      <c r="A72" s="327" t="s">
        <v>149</v>
      </c>
      <c r="B72" s="51" t="s">
        <v>166</v>
      </c>
      <c r="C72" s="51" t="s">
        <v>162</v>
      </c>
      <c r="D72" s="383">
        <v>16340</v>
      </c>
      <c r="E72" s="19">
        <v>17</v>
      </c>
      <c r="F72" s="8" t="s">
        <v>16</v>
      </c>
      <c r="G72" s="8" t="s">
        <v>59</v>
      </c>
      <c r="H72" s="33">
        <v>54</v>
      </c>
      <c r="I72" s="206">
        <v>544071.25</v>
      </c>
      <c r="J72" s="104">
        <v>422400.31</v>
      </c>
      <c r="K72" s="81">
        <f t="shared" ref="K72:K88" si="41">I72-J72</f>
        <v>121670.94</v>
      </c>
      <c r="L72" s="82">
        <f t="shared" ref="L72:L88" si="42">J72*20%</f>
        <v>84480.062000000005</v>
      </c>
      <c r="M72" s="82"/>
      <c r="N72" s="82"/>
      <c r="O72" s="82"/>
      <c r="P72" s="82"/>
      <c r="Q72" s="82"/>
      <c r="R72" s="82"/>
      <c r="S72" s="82"/>
      <c r="T72" s="82"/>
      <c r="U72" s="84">
        <f t="shared" si="23"/>
        <v>0</v>
      </c>
      <c r="V72" s="85">
        <f t="shared" si="24"/>
        <v>84480.062000000005</v>
      </c>
      <c r="W72" s="86">
        <f t="shared" ref="W72:W88" si="43">I72-V72</f>
        <v>459591.18799999997</v>
      </c>
      <c r="X72" s="328">
        <f t="shared" ref="X72:X88" si="44">K72-W72</f>
        <v>-337920.24799999996</v>
      </c>
    </row>
    <row r="73" spans="1:24" x14ac:dyDescent="0.3">
      <c r="A73" s="327" t="s">
        <v>149</v>
      </c>
      <c r="B73" s="51" t="s">
        <v>166</v>
      </c>
      <c r="C73" s="51" t="s">
        <v>162</v>
      </c>
      <c r="D73" s="383">
        <v>16340</v>
      </c>
      <c r="E73" s="6">
        <v>18</v>
      </c>
      <c r="F73" s="9" t="s">
        <v>16</v>
      </c>
      <c r="G73" s="15" t="s">
        <v>60</v>
      </c>
      <c r="H73" s="23">
        <v>78</v>
      </c>
      <c r="I73" s="46">
        <v>233463.41</v>
      </c>
      <c r="J73" s="105">
        <v>269102.55</v>
      </c>
      <c r="K73" s="81">
        <f t="shared" si="41"/>
        <v>-35639.139999999985</v>
      </c>
      <c r="L73" s="81">
        <f t="shared" si="42"/>
        <v>53820.51</v>
      </c>
      <c r="M73" s="81"/>
      <c r="N73" s="81"/>
      <c r="O73" s="81"/>
      <c r="P73" s="81"/>
      <c r="Q73" s="81"/>
      <c r="R73" s="81"/>
      <c r="S73" s="81"/>
      <c r="T73" s="81"/>
      <c r="U73" s="79">
        <f t="shared" si="23"/>
        <v>0</v>
      </c>
      <c r="V73" s="80">
        <f t="shared" si="24"/>
        <v>53820.51</v>
      </c>
      <c r="W73" s="94">
        <f t="shared" si="43"/>
        <v>179642.9</v>
      </c>
      <c r="X73" s="328">
        <f t="shared" si="44"/>
        <v>-215282.03999999998</v>
      </c>
    </row>
    <row r="74" spans="1:24" x14ac:dyDescent="0.3">
      <c r="A74" s="327" t="s">
        <v>149</v>
      </c>
      <c r="B74" s="51" t="s">
        <v>166</v>
      </c>
      <c r="C74" s="51" t="s">
        <v>162</v>
      </c>
      <c r="D74" s="383">
        <v>16340</v>
      </c>
      <c r="E74" s="6">
        <v>19</v>
      </c>
      <c r="F74" s="9" t="s">
        <v>16</v>
      </c>
      <c r="G74" s="14" t="s">
        <v>61</v>
      </c>
      <c r="H74" s="23">
        <v>66</v>
      </c>
      <c r="I74" s="46">
        <v>363390.87</v>
      </c>
      <c r="J74" s="105">
        <v>331387.64</v>
      </c>
      <c r="K74" s="81">
        <f t="shared" si="41"/>
        <v>32003.229999999981</v>
      </c>
      <c r="L74" s="81">
        <f t="shared" si="42"/>
        <v>66277.528000000006</v>
      </c>
      <c r="M74" s="81"/>
      <c r="N74" s="81"/>
      <c r="O74" s="81"/>
      <c r="P74" s="81"/>
      <c r="Q74" s="81"/>
      <c r="R74" s="81"/>
      <c r="S74" s="81"/>
      <c r="T74" s="81"/>
      <c r="U74" s="79">
        <f t="shared" si="23"/>
        <v>0</v>
      </c>
      <c r="V74" s="80">
        <f t="shared" si="24"/>
        <v>66277.528000000006</v>
      </c>
      <c r="W74" s="94">
        <f t="shared" si="43"/>
        <v>297113.342</v>
      </c>
      <c r="X74" s="328">
        <f t="shared" si="44"/>
        <v>-265110.11200000002</v>
      </c>
    </row>
    <row r="75" spans="1:24" x14ac:dyDescent="0.3">
      <c r="A75" s="327" t="s">
        <v>149</v>
      </c>
      <c r="B75" s="51" t="s">
        <v>166</v>
      </c>
      <c r="C75" s="51" t="s">
        <v>162</v>
      </c>
      <c r="D75" s="383">
        <v>16340</v>
      </c>
      <c r="E75" s="6">
        <v>20</v>
      </c>
      <c r="F75" s="9" t="s">
        <v>16</v>
      </c>
      <c r="G75" s="14" t="s">
        <v>62</v>
      </c>
      <c r="H75" s="23">
        <v>57</v>
      </c>
      <c r="I75" s="46">
        <v>308577.71999999997</v>
      </c>
      <c r="J75" s="105">
        <v>291918.65000000002</v>
      </c>
      <c r="K75" s="81">
        <f t="shared" si="41"/>
        <v>16659.069999999949</v>
      </c>
      <c r="L75" s="81">
        <f t="shared" si="42"/>
        <v>58383.73000000001</v>
      </c>
      <c r="M75" s="81"/>
      <c r="N75" s="81"/>
      <c r="O75" s="81"/>
      <c r="P75" s="81"/>
      <c r="Q75" s="81"/>
      <c r="R75" s="81"/>
      <c r="S75" s="81"/>
      <c r="T75" s="81"/>
      <c r="U75" s="79">
        <f t="shared" si="23"/>
        <v>0</v>
      </c>
      <c r="V75" s="80">
        <f t="shared" si="24"/>
        <v>58383.73000000001</v>
      </c>
      <c r="W75" s="94">
        <f t="shared" si="43"/>
        <v>250193.98999999996</v>
      </c>
      <c r="X75" s="328">
        <f t="shared" si="44"/>
        <v>-233534.92</v>
      </c>
    </row>
    <row r="76" spans="1:24" ht="31.2" x14ac:dyDescent="0.3">
      <c r="A76" s="327" t="s">
        <v>149</v>
      </c>
      <c r="B76" s="51" t="s">
        <v>166</v>
      </c>
      <c r="C76" s="51" t="s">
        <v>162</v>
      </c>
      <c r="D76" s="383">
        <v>16340</v>
      </c>
      <c r="E76" s="6">
        <v>21</v>
      </c>
      <c r="F76" s="9" t="s">
        <v>16</v>
      </c>
      <c r="G76" s="14" t="s">
        <v>63</v>
      </c>
      <c r="H76" s="23">
        <v>48</v>
      </c>
      <c r="I76" s="46">
        <v>263915.15999999997</v>
      </c>
      <c r="J76" s="105">
        <v>258195.18</v>
      </c>
      <c r="K76" s="81">
        <f t="shared" si="41"/>
        <v>5719.9799999999814</v>
      </c>
      <c r="L76" s="81">
        <f t="shared" si="42"/>
        <v>51639.036</v>
      </c>
      <c r="M76" s="81"/>
      <c r="N76" s="81"/>
      <c r="O76" s="81"/>
      <c r="P76" s="81"/>
      <c r="Q76" s="81"/>
      <c r="R76" s="81"/>
      <c r="S76" s="81"/>
      <c r="T76" s="81"/>
      <c r="U76" s="79">
        <f t="shared" si="23"/>
        <v>0</v>
      </c>
      <c r="V76" s="80">
        <f t="shared" si="24"/>
        <v>51639.036</v>
      </c>
      <c r="W76" s="94">
        <f t="shared" si="43"/>
        <v>212276.12399999998</v>
      </c>
      <c r="X76" s="328">
        <f t="shared" si="44"/>
        <v>-206556.144</v>
      </c>
    </row>
    <row r="77" spans="1:24" x14ac:dyDescent="0.3">
      <c r="A77" s="327" t="s">
        <v>149</v>
      </c>
      <c r="B77" s="51" t="s">
        <v>166</v>
      </c>
      <c r="C77" s="51" t="s">
        <v>162</v>
      </c>
      <c r="D77" s="383">
        <v>16340</v>
      </c>
      <c r="E77" s="6">
        <v>22</v>
      </c>
      <c r="F77" s="9" t="s">
        <v>16</v>
      </c>
      <c r="G77" s="14" t="s">
        <v>64</v>
      </c>
      <c r="H77" s="23">
        <v>6</v>
      </c>
      <c r="I77" s="46">
        <v>162409.32999999999</v>
      </c>
      <c r="J77" s="105">
        <v>161338.49</v>
      </c>
      <c r="K77" s="81">
        <f t="shared" si="41"/>
        <v>1070.8399999999965</v>
      </c>
      <c r="L77" s="81">
        <f t="shared" si="42"/>
        <v>32267.698</v>
      </c>
      <c r="M77" s="81"/>
      <c r="N77" s="81"/>
      <c r="O77" s="81"/>
      <c r="P77" s="81"/>
      <c r="Q77" s="81"/>
      <c r="R77" s="81"/>
      <c r="S77" s="81"/>
      <c r="T77" s="81"/>
      <c r="U77" s="79">
        <f t="shared" si="23"/>
        <v>0</v>
      </c>
      <c r="V77" s="80">
        <f t="shared" si="24"/>
        <v>32267.698</v>
      </c>
      <c r="W77" s="94">
        <f t="shared" si="43"/>
        <v>130141.63199999998</v>
      </c>
      <c r="X77" s="328">
        <f t="shared" si="44"/>
        <v>-129070.79199999999</v>
      </c>
    </row>
    <row r="78" spans="1:24" x14ac:dyDescent="0.3">
      <c r="A78" s="327" t="s">
        <v>149</v>
      </c>
      <c r="B78" s="51" t="s">
        <v>166</v>
      </c>
      <c r="C78" s="51" t="s">
        <v>162</v>
      </c>
      <c r="D78" s="383">
        <v>16340</v>
      </c>
      <c r="E78" s="6">
        <v>23</v>
      </c>
      <c r="F78" s="9" t="s">
        <v>16</v>
      </c>
      <c r="G78" s="15" t="s">
        <v>65</v>
      </c>
      <c r="H78" s="23">
        <v>36</v>
      </c>
      <c r="I78" s="46">
        <v>535950.78</v>
      </c>
      <c r="J78" s="105">
        <v>400917.65</v>
      </c>
      <c r="K78" s="81">
        <f t="shared" si="41"/>
        <v>135033.13</v>
      </c>
      <c r="L78" s="81">
        <f t="shared" si="42"/>
        <v>80183.530000000013</v>
      </c>
      <c r="M78" s="81"/>
      <c r="N78" s="81"/>
      <c r="O78" s="81"/>
      <c r="P78" s="81"/>
      <c r="Q78" s="81"/>
      <c r="R78" s="81"/>
      <c r="S78" s="81"/>
      <c r="T78" s="81"/>
      <c r="U78" s="79">
        <f t="shared" si="23"/>
        <v>0</v>
      </c>
      <c r="V78" s="80">
        <f t="shared" si="24"/>
        <v>80183.530000000013</v>
      </c>
      <c r="W78" s="94">
        <f t="shared" si="43"/>
        <v>455767.25</v>
      </c>
      <c r="X78" s="328">
        <f t="shared" si="44"/>
        <v>-320734.12</v>
      </c>
    </row>
    <row r="79" spans="1:24" x14ac:dyDescent="0.3">
      <c r="A79" s="327" t="s">
        <v>149</v>
      </c>
      <c r="B79" s="51" t="s">
        <v>166</v>
      </c>
      <c r="C79" s="51" t="s">
        <v>162</v>
      </c>
      <c r="D79" s="383">
        <v>16340</v>
      </c>
      <c r="E79" s="6">
        <v>24</v>
      </c>
      <c r="F79" s="9" t="s">
        <v>16</v>
      </c>
      <c r="G79" s="15" t="s">
        <v>66</v>
      </c>
      <c r="H79" s="23">
        <v>48</v>
      </c>
      <c r="I79" s="46">
        <v>540011.02</v>
      </c>
      <c r="J79" s="105">
        <v>414473.32</v>
      </c>
      <c r="K79" s="81">
        <f t="shared" si="41"/>
        <v>125537.70000000001</v>
      </c>
      <c r="L79" s="81">
        <f t="shared" si="42"/>
        <v>82894.664000000004</v>
      </c>
      <c r="M79" s="81"/>
      <c r="N79" s="81"/>
      <c r="O79" s="81"/>
      <c r="P79" s="81"/>
      <c r="Q79" s="81"/>
      <c r="R79" s="81"/>
      <c r="S79" s="81"/>
      <c r="T79" s="81"/>
      <c r="U79" s="79">
        <f t="shared" si="23"/>
        <v>0</v>
      </c>
      <c r="V79" s="80">
        <f t="shared" si="24"/>
        <v>82894.664000000004</v>
      </c>
      <c r="W79" s="94">
        <f t="shared" si="43"/>
        <v>457116.35600000003</v>
      </c>
      <c r="X79" s="328">
        <f t="shared" si="44"/>
        <v>-331578.65600000002</v>
      </c>
    </row>
    <row r="80" spans="1:24" x14ac:dyDescent="0.3">
      <c r="A80" s="327" t="s">
        <v>149</v>
      </c>
      <c r="B80" s="51" t="s">
        <v>166</v>
      </c>
      <c r="C80" s="51" t="s">
        <v>162</v>
      </c>
      <c r="D80" s="383">
        <v>16340</v>
      </c>
      <c r="E80" s="6">
        <v>25</v>
      </c>
      <c r="F80" s="9" t="s">
        <v>16</v>
      </c>
      <c r="G80" s="14" t="s">
        <v>67</v>
      </c>
      <c r="H80" s="23">
        <v>123</v>
      </c>
      <c r="I80" s="46">
        <v>578583.23</v>
      </c>
      <c r="J80" s="105">
        <v>497311.45</v>
      </c>
      <c r="K80" s="81">
        <f t="shared" si="41"/>
        <v>81271.77999999997</v>
      </c>
      <c r="L80" s="81">
        <f t="shared" si="42"/>
        <v>99462.290000000008</v>
      </c>
      <c r="M80" s="81"/>
      <c r="N80" s="81"/>
      <c r="O80" s="81"/>
      <c r="P80" s="81"/>
      <c r="Q80" s="81"/>
      <c r="R80" s="81"/>
      <c r="S80" s="81"/>
      <c r="T80" s="81"/>
      <c r="U80" s="79">
        <f t="shared" si="23"/>
        <v>0</v>
      </c>
      <c r="V80" s="80">
        <f t="shared" si="24"/>
        <v>99462.290000000008</v>
      </c>
      <c r="W80" s="94">
        <f t="shared" si="43"/>
        <v>479120.93999999994</v>
      </c>
      <c r="X80" s="328">
        <f t="shared" si="44"/>
        <v>-397849.16</v>
      </c>
    </row>
    <row r="81" spans="1:24" x14ac:dyDescent="0.3">
      <c r="A81" s="327" t="s">
        <v>149</v>
      </c>
      <c r="B81" s="51" t="s">
        <v>166</v>
      </c>
      <c r="C81" s="51" t="s">
        <v>162</v>
      </c>
      <c r="D81" s="383">
        <v>16340</v>
      </c>
      <c r="E81" s="6">
        <v>26</v>
      </c>
      <c r="F81" s="9" t="s">
        <v>16</v>
      </c>
      <c r="G81" s="14" t="s">
        <v>68</v>
      </c>
      <c r="H81" s="23">
        <v>120</v>
      </c>
      <c r="I81" s="46">
        <v>304517.49</v>
      </c>
      <c r="J81" s="105">
        <v>348722.69</v>
      </c>
      <c r="K81" s="81">
        <f t="shared" si="41"/>
        <v>-44205.200000000012</v>
      </c>
      <c r="L81" s="81">
        <f t="shared" si="42"/>
        <v>69744.538</v>
      </c>
      <c r="M81" s="81"/>
      <c r="N81" s="81"/>
      <c r="O81" s="81"/>
      <c r="P81" s="81"/>
      <c r="Q81" s="81"/>
      <c r="R81" s="81"/>
      <c r="S81" s="81"/>
      <c r="T81" s="81"/>
      <c r="U81" s="79">
        <f t="shared" si="23"/>
        <v>0</v>
      </c>
      <c r="V81" s="80">
        <f t="shared" si="24"/>
        <v>69744.538</v>
      </c>
      <c r="W81" s="94">
        <f t="shared" si="43"/>
        <v>234772.95199999999</v>
      </c>
      <c r="X81" s="328">
        <f t="shared" si="44"/>
        <v>-278978.152</v>
      </c>
    </row>
    <row r="82" spans="1:24" x14ac:dyDescent="0.3">
      <c r="A82" s="327" t="s">
        <v>149</v>
      </c>
      <c r="B82" s="51" t="s">
        <v>166</v>
      </c>
      <c r="C82" s="51" t="s">
        <v>162</v>
      </c>
      <c r="D82" s="383">
        <v>16340</v>
      </c>
      <c r="E82" s="6">
        <v>27</v>
      </c>
      <c r="F82" s="9" t="s">
        <v>16</v>
      </c>
      <c r="G82" s="14" t="s">
        <v>69</v>
      </c>
      <c r="H82" s="23">
        <v>45</v>
      </c>
      <c r="I82" s="46">
        <v>812046.64</v>
      </c>
      <c r="J82" s="105">
        <v>565638.86</v>
      </c>
      <c r="K82" s="81">
        <f t="shared" si="41"/>
        <v>246407.78000000003</v>
      </c>
      <c r="L82" s="81">
        <f t="shared" si="42"/>
        <v>113127.772</v>
      </c>
      <c r="M82" s="81"/>
      <c r="N82" s="81"/>
      <c r="O82" s="81"/>
      <c r="P82" s="81"/>
      <c r="Q82" s="81"/>
      <c r="R82" s="81"/>
      <c r="S82" s="81"/>
      <c r="T82" s="81"/>
      <c r="U82" s="79">
        <f t="shared" si="23"/>
        <v>0</v>
      </c>
      <c r="V82" s="80">
        <f t="shared" si="24"/>
        <v>113127.772</v>
      </c>
      <c r="W82" s="94">
        <f t="shared" si="43"/>
        <v>698918.86800000002</v>
      </c>
      <c r="X82" s="328">
        <f t="shared" si="44"/>
        <v>-452511.08799999999</v>
      </c>
    </row>
    <row r="83" spans="1:24" x14ac:dyDescent="0.3">
      <c r="A83" s="327" t="s">
        <v>149</v>
      </c>
      <c r="B83" s="51" t="s">
        <v>166</v>
      </c>
      <c r="C83" s="51" t="s">
        <v>162</v>
      </c>
      <c r="D83" s="383">
        <v>16340</v>
      </c>
      <c r="E83" s="6">
        <v>28</v>
      </c>
      <c r="F83" s="9" t="s">
        <v>16</v>
      </c>
      <c r="G83" s="14" t="s">
        <v>70</v>
      </c>
      <c r="H83" s="23">
        <v>30</v>
      </c>
      <c r="I83" s="46">
        <v>710540.81</v>
      </c>
      <c r="J83" s="105">
        <v>494111.7</v>
      </c>
      <c r="K83" s="81">
        <f t="shared" si="41"/>
        <v>216429.11000000004</v>
      </c>
      <c r="L83" s="81">
        <f t="shared" si="42"/>
        <v>98822.340000000011</v>
      </c>
      <c r="M83" s="81"/>
      <c r="N83" s="81"/>
      <c r="O83" s="81"/>
      <c r="P83" s="81"/>
      <c r="Q83" s="81"/>
      <c r="R83" s="81"/>
      <c r="S83" s="81"/>
      <c r="T83" s="81"/>
      <c r="U83" s="79">
        <f t="shared" si="23"/>
        <v>0</v>
      </c>
      <c r="V83" s="80">
        <f t="shared" si="24"/>
        <v>98822.340000000011</v>
      </c>
      <c r="W83" s="94">
        <f t="shared" si="43"/>
        <v>611718.47000000009</v>
      </c>
      <c r="X83" s="328">
        <f t="shared" si="44"/>
        <v>-395289.36000000004</v>
      </c>
    </row>
    <row r="84" spans="1:24" ht="31.2" x14ac:dyDescent="0.3">
      <c r="A84" s="327" t="s">
        <v>149</v>
      </c>
      <c r="B84" s="51" t="s">
        <v>166</v>
      </c>
      <c r="C84" s="51" t="s">
        <v>162</v>
      </c>
      <c r="D84" s="383">
        <v>16340</v>
      </c>
      <c r="E84" s="6">
        <v>29</v>
      </c>
      <c r="F84" s="9" t="s">
        <v>16</v>
      </c>
      <c r="G84" s="14" t="s">
        <v>71</v>
      </c>
      <c r="H84" s="23">
        <v>51</v>
      </c>
      <c r="I84" s="46">
        <v>531890.55000000005</v>
      </c>
      <c r="J84" s="105">
        <v>417265.42</v>
      </c>
      <c r="K84" s="81">
        <f t="shared" si="41"/>
        <v>114625.13000000006</v>
      </c>
      <c r="L84" s="81">
        <f t="shared" si="42"/>
        <v>83453.084000000003</v>
      </c>
      <c r="M84" s="81"/>
      <c r="N84" s="81"/>
      <c r="O84" s="81"/>
      <c r="P84" s="81"/>
      <c r="Q84" s="81"/>
      <c r="R84" s="81"/>
      <c r="S84" s="81"/>
      <c r="T84" s="81"/>
      <c r="U84" s="79">
        <f t="shared" si="23"/>
        <v>0</v>
      </c>
      <c r="V84" s="80">
        <f t="shared" si="24"/>
        <v>83453.084000000003</v>
      </c>
      <c r="W84" s="94">
        <f t="shared" si="43"/>
        <v>448437.46600000001</v>
      </c>
      <c r="X84" s="328">
        <f t="shared" si="44"/>
        <v>-333812.33599999995</v>
      </c>
    </row>
    <row r="85" spans="1:24" x14ac:dyDescent="0.3">
      <c r="A85" s="327" t="s">
        <v>149</v>
      </c>
      <c r="B85" s="51" t="s">
        <v>166</v>
      </c>
      <c r="C85" s="51" t="s">
        <v>162</v>
      </c>
      <c r="D85" s="383">
        <v>16340</v>
      </c>
      <c r="E85" s="6">
        <v>30</v>
      </c>
      <c r="F85" s="9" t="s">
        <v>16</v>
      </c>
      <c r="G85" s="14" t="s">
        <v>72</v>
      </c>
      <c r="H85" s="23">
        <v>147</v>
      </c>
      <c r="I85" s="46">
        <v>507529.15</v>
      </c>
      <c r="J85" s="105">
        <v>488962.61</v>
      </c>
      <c r="K85" s="81">
        <f t="shared" si="41"/>
        <v>18566.540000000037</v>
      </c>
      <c r="L85" s="81">
        <f t="shared" si="42"/>
        <v>97792.521999999997</v>
      </c>
      <c r="M85" s="81"/>
      <c r="N85" s="81"/>
      <c r="O85" s="81"/>
      <c r="P85" s="81"/>
      <c r="Q85" s="81"/>
      <c r="R85" s="81"/>
      <c r="S85" s="81"/>
      <c r="T85" s="81"/>
      <c r="U85" s="79">
        <f t="shared" si="23"/>
        <v>0</v>
      </c>
      <c r="V85" s="80">
        <f t="shared" si="24"/>
        <v>97792.521999999997</v>
      </c>
      <c r="W85" s="94">
        <f t="shared" si="43"/>
        <v>409736.62800000003</v>
      </c>
      <c r="X85" s="328">
        <f t="shared" si="44"/>
        <v>-391170.08799999999</v>
      </c>
    </row>
    <row r="86" spans="1:24" x14ac:dyDescent="0.3">
      <c r="A86" s="327" t="s">
        <v>149</v>
      </c>
      <c r="B86" s="51" t="s">
        <v>166</v>
      </c>
      <c r="C86" s="51" t="s">
        <v>162</v>
      </c>
      <c r="D86" s="383">
        <v>16340</v>
      </c>
      <c r="E86" s="6">
        <v>31</v>
      </c>
      <c r="F86" s="9" t="s">
        <v>16</v>
      </c>
      <c r="G86" s="14" t="s">
        <v>73</v>
      </c>
      <c r="H86" s="23">
        <v>42</v>
      </c>
      <c r="I86" s="46">
        <v>172559.91</v>
      </c>
      <c r="J86" s="105">
        <v>200850.72</v>
      </c>
      <c r="K86" s="81">
        <f t="shared" si="41"/>
        <v>-28290.809999999998</v>
      </c>
      <c r="L86" s="81">
        <f t="shared" si="42"/>
        <v>40170.144</v>
      </c>
      <c r="M86" s="81"/>
      <c r="N86" s="81"/>
      <c r="O86" s="81"/>
      <c r="P86" s="81"/>
      <c r="Q86" s="81"/>
      <c r="R86" s="81"/>
      <c r="S86" s="81"/>
      <c r="T86" s="81"/>
      <c r="U86" s="79">
        <f t="shared" si="23"/>
        <v>0</v>
      </c>
      <c r="V86" s="80">
        <f t="shared" si="24"/>
        <v>40170.144</v>
      </c>
      <c r="W86" s="94">
        <f t="shared" si="43"/>
        <v>132389.766</v>
      </c>
      <c r="X86" s="328">
        <f t="shared" si="44"/>
        <v>-160680.576</v>
      </c>
    </row>
    <row r="87" spans="1:24" x14ac:dyDescent="0.3">
      <c r="A87" s="327" t="s">
        <v>149</v>
      </c>
      <c r="B87" s="51" t="s">
        <v>166</v>
      </c>
      <c r="C87" s="51" t="s">
        <v>162</v>
      </c>
      <c r="D87" s="383">
        <v>16340</v>
      </c>
      <c r="E87" s="6">
        <v>32</v>
      </c>
      <c r="F87" s="9" t="s">
        <v>16</v>
      </c>
      <c r="G87" s="14" t="s">
        <v>74</v>
      </c>
      <c r="H87" s="23">
        <v>72</v>
      </c>
      <c r="I87" s="46">
        <v>324818.65999999997</v>
      </c>
      <c r="J87" s="105">
        <v>315184.11</v>
      </c>
      <c r="K87" s="81">
        <f t="shared" si="41"/>
        <v>9634.5499999999884</v>
      </c>
      <c r="L87" s="81">
        <f t="shared" si="42"/>
        <v>63036.822</v>
      </c>
      <c r="M87" s="81"/>
      <c r="N87" s="81"/>
      <c r="O87" s="81"/>
      <c r="P87" s="81"/>
      <c r="Q87" s="81"/>
      <c r="R87" s="81"/>
      <c r="S87" s="81"/>
      <c r="T87" s="81"/>
      <c r="U87" s="79">
        <f t="shared" si="23"/>
        <v>0</v>
      </c>
      <c r="V87" s="80">
        <f t="shared" si="24"/>
        <v>63036.822</v>
      </c>
      <c r="W87" s="94">
        <f t="shared" si="43"/>
        <v>261781.83799999999</v>
      </c>
      <c r="X87" s="328">
        <f t="shared" si="44"/>
        <v>-252147.288</v>
      </c>
    </row>
    <row r="88" spans="1:24" ht="16.2" thickBot="1" x14ac:dyDescent="0.35">
      <c r="A88" s="327" t="s">
        <v>149</v>
      </c>
      <c r="B88" s="51" t="s">
        <v>166</v>
      </c>
      <c r="C88" s="342" t="s">
        <v>162</v>
      </c>
      <c r="D88" s="383">
        <v>16340</v>
      </c>
      <c r="E88" s="21">
        <v>33</v>
      </c>
      <c r="F88" s="12" t="s">
        <v>16</v>
      </c>
      <c r="G88" s="367" t="s">
        <v>75</v>
      </c>
      <c r="H88" s="336">
        <v>105</v>
      </c>
      <c r="I88" s="299">
        <v>629336.15</v>
      </c>
      <c r="J88" s="106">
        <v>518507.36</v>
      </c>
      <c r="K88" s="89">
        <f t="shared" si="41"/>
        <v>110828.79000000004</v>
      </c>
      <c r="L88" s="89">
        <f t="shared" si="42"/>
        <v>103701.47200000001</v>
      </c>
      <c r="M88" s="89"/>
      <c r="N88" s="89"/>
      <c r="O88" s="89"/>
      <c r="P88" s="89"/>
      <c r="Q88" s="89"/>
      <c r="R88" s="89"/>
      <c r="S88" s="89"/>
      <c r="T88" s="89"/>
      <c r="U88" s="91">
        <f t="shared" si="23"/>
        <v>0</v>
      </c>
      <c r="V88" s="143">
        <f t="shared" si="24"/>
        <v>103701.47200000001</v>
      </c>
      <c r="W88" s="132">
        <f t="shared" si="43"/>
        <v>525634.67800000007</v>
      </c>
      <c r="X88" s="328">
        <f t="shared" si="44"/>
        <v>-414805.88800000004</v>
      </c>
    </row>
    <row r="89" spans="1:24" s="194" customFormat="1" ht="16.2" thickBot="1" x14ac:dyDescent="0.35">
      <c r="A89" s="333" t="s">
        <v>151</v>
      </c>
      <c r="B89" s="333"/>
      <c r="C89" s="358"/>
      <c r="D89" s="392"/>
      <c r="E89" s="338"/>
      <c r="F89" s="359"/>
      <c r="G89" s="340"/>
      <c r="H89" s="340">
        <f>SUM(H72:H88)</f>
        <v>1128</v>
      </c>
      <c r="I89" s="340">
        <f t="shared" ref="I89:X89" si="45">SUM(I72:I88)</f>
        <v>7523612.1299999999</v>
      </c>
      <c r="J89" s="340">
        <f t="shared" si="45"/>
        <v>6396288.71</v>
      </c>
      <c r="K89" s="340">
        <f t="shared" si="45"/>
        <v>1127323.4200000002</v>
      </c>
      <c r="L89" s="340">
        <f t="shared" si="45"/>
        <v>1279257.7420000001</v>
      </c>
      <c r="M89" s="340">
        <f t="shared" si="45"/>
        <v>0</v>
      </c>
      <c r="N89" s="340">
        <f t="shared" si="45"/>
        <v>0</v>
      </c>
      <c r="O89" s="340">
        <f t="shared" si="45"/>
        <v>0</v>
      </c>
      <c r="P89" s="340">
        <f t="shared" si="45"/>
        <v>0</v>
      </c>
      <c r="Q89" s="340">
        <f t="shared" si="45"/>
        <v>0</v>
      </c>
      <c r="R89" s="340">
        <f t="shared" si="45"/>
        <v>0</v>
      </c>
      <c r="S89" s="340">
        <f t="shared" si="45"/>
        <v>0</v>
      </c>
      <c r="T89" s="340">
        <f t="shared" si="45"/>
        <v>0</v>
      </c>
      <c r="U89" s="340">
        <f t="shared" si="45"/>
        <v>0</v>
      </c>
      <c r="V89" s="340">
        <f t="shared" si="45"/>
        <v>1279257.7420000001</v>
      </c>
      <c r="W89" s="340">
        <f t="shared" si="45"/>
        <v>6244354.3880000012</v>
      </c>
      <c r="X89" s="341">
        <f t="shared" si="45"/>
        <v>-5117030.9680000003</v>
      </c>
    </row>
    <row r="90" spans="1:24" ht="31.8" thickBot="1" x14ac:dyDescent="0.35">
      <c r="A90" s="327" t="s">
        <v>148</v>
      </c>
      <c r="B90" s="327" t="s">
        <v>168</v>
      </c>
      <c r="C90" s="163" t="s">
        <v>164</v>
      </c>
      <c r="D90" s="393" t="s">
        <v>169</v>
      </c>
      <c r="E90" s="164" t="s">
        <v>175</v>
      </c>
      <c r="F90" s="409" t="s">
        <v>6</v>
      </c>
      <c r="G90" s="409"/>
      <c r="H90" s="165" t="s">
        <v>4</v>
      </c>
      <c r="I90" s="165" t="s">
        <v>5</v>
      </c>
      <c r="J90" s="166" t="s">
        <v>131</v>
      </c>
      <c r="K90" s="117" t="s">
        <v>145</v>
      </c>
      <c r="L90" s="167">
        <v>0.2</v>
      </c>
      <c r="M90" s="165" t="s">
        <v>132</v>
      </c>
      <c r="N90" s="165" t="s">
        <v>133</v>
      </c>
      <c r="O90" s="165" t="s">
        <v>134</v>
      </c>
      <c r="P90" s="165" t="s">
        <v>135</v>
      </c>
      <c r="Q90" s="165" t="s">
        <v>136</v>
      </c>
      <c r="R90" s="165" t="s">
        <v>137</v>
      </c>
      <c r="S90" s="165" t="s">
        <v>138</v>
      </c>
      <c r="T90" s="165" t="s">
        <v>139</v>
      </c>
      <c r="U90" s="164" t="s">
        <v>140</v>
      </c>
      <c r="V90" s="165" t="s">
        <v>144</v>
      </c>
      <c r="W90" s="168" t="s">
        <v>141</v>
      </c>
      <c r="X90" s="252" t="s">
        <v>160</v>
      </c>
    </row>
    <row r="91" spans="1:24" x14ac:dyDescent="0.3">
      <c r="A91" s="327" t="s">
        <v>149</v>
      </c>
      <c r="B91" s="51" t="s">
        <v>166</v>
      </c>
      <c r="C91" s="51" t="s">
        <v>162</v>
      </c>
      <c r="D91" s="383">
        <v>16340</v>
      </c>
      <c r="E91" s="19">
        <v>34</v>
      </c>
      <c r="F91" s="8" t="s">
        <v>16</v>
      </c>
      <c r="G91" s="8" t="s">
        <v>76</v>
      </c>
      <c r="H91" s="33">
        <v>45</v>
      </c>
      <c r="I91" s="206">
        <v>1627351.3515180494</v>
      </c>
      <c r="J91" s="104">
        <v>1497413.99</v>
      </c>
      <c r="K91" s="81">
        <f t="shared" ref="K91:K94" si="46">I91-J91</f>
        <v>129937.36151804938</v>
      </c>
      <c r="L91" s="82">
        <f t="shared" ref="L91:L100" si="47">J91*20%</f>
        <v>299482.79800000001</v>
      </c>
      <c r="M91" s="82"/>
      <c r="N91" s="82"/>
      <c r="O91" s="82"/>
      <c r="P91" s="82"/>
      <c r="Q91" s="82"/>
      <c r="R91" s="82"/>
      <c r="S91" s="82"/>
      <c r="T91" s="82"/>
      <c r="U91" s="84">
        <f t="shared" si="23"/>
        <v>0</v>
      </c>
      <c r="V91" s="85">
        <f t="shared" si="24"/>
        <v>299482.79800000001</v>
      </c>
      <c r="W91" s="86">
        <f t="shared" ref="W91:W100" si="48">I91-V91</f>
        <v>1327868.5535180494</v>
      </c>
      <c r="X91" s="328">
        <f t="shared" ref="X91:X100" si="49">K91-W91</f>
        <v>-1197931.192</v>
      </c>
    </row>
    <row r="92" spans="1:24" x14ac:dyDescent="0.3">
      <c r="A92" s="327" t="s">
        <v>149</v>
      </c>
      <c r="B92" s="51" t="s">
        <v>166</v>
      </c>
      <c r="C92" s="51" t="s">
        <v>162</v>
      </c>
      <c r="D92" s="383">
        <v>16340</v>
      </c>
      <c r="E92" s="6">
        <v>35</v>
      </c>
      <c r="F92" s="9" t="s">
        <v>16</v>
      </c>
      <c r="G92" s="9" t="s">
        <v>77</v>
      </c>
      <c r="H92" s="23">
        <v>102</v>
      </c>
      <c r="I92" s="46">
        <v>1072948.3634031347</v>
      </c>
      <c r="J92" s="105">
        <v>1022677.26</v>
      </c>
      <c r="K92" s="81">
        <f t="shared" si="46"/>
        <v>50271.103403134737</v>
      </c>
      <c r="L92" s="81">
        <f t="shared" si="47"/>
        <v>204535.45200000002</v>
      </c>
      <c r="M92" s="81"/>
      <c r="N92" s="81"/>
      <c r="O92" s="81"/>
      <c r="P92" s="81"/>
      <c r="Q92" s="81"/>
      <c r="R92" s="81"/>
      <c r="S92" s="81"/>
      <c r="T92" s="81"/>
      <c r="U92" s="79">
        <f t="shared" si="23"/>
        <v>0</v>
      </c>
      <c r="V92" s="80">
        <f t="shared" si="24"/>
        <v>204535.45200000002</v>
      </c>
      <c r="W92" s="94">
        <f t="shared" si="48"/>
        <v>868412.9114031347</v>
      </c>
      <c r="X92" s="328">
        <f t="shared" si="49"/>
        <v>-818141.80799999996</v>
      </c>
    </row>
    <row r="93" spans="1:24" x14ac:dyDescent="0.3">
      <c r="A93" s="327" t="s">
        <v>149</v>
      </c>
      <c r="B93" s="51" t="s">
        <v>166</v>
      </c>
      <c r="C93" s="51" t="s">
        <v>162</v>
      </c>
      <c r="D93" s="383">
        <v>16340</v>
      </c>
      <c r="E93" s="6">
        <v>36</v>
      </c>
      <c r="F93" s="9" t="s">
        <v>16</v>
      </c>
      <c r="G93" s="9" t="s">
        <v>78</v>
      </c>
      <c r="H93" s="23">
        <v>156</v>
      </c>
      <c r="I93" s="46">
        <v>1076598.1320566735</v>
      </c>
      <c r="J93" s="105">
        <v>1055057.5</v>
      </c>
      <c r="K93" s="81">
        <f t="shared" si="46"/>
        <v>21540.632056673523</v>
      </c>
      <c r="L93" s="81">
        <f t="shared" si="47"/>
        <v>211011.5</v>
      </c>
      <c r="M93" s="81"/>
      <c r="N93" s="81"/>
      <c r="O93" s="81"/>
      <c r="P93" s="81"/>
      <c r="Q93" s="81"/>
      <c r="R93" s="81"/>
      <c r="S93" s="81"/>
      <c r="T93" s="81"/>
      <c r="U93" s="79">
        <f t="shared" si="23"/>
        <v>0</v>
      </c>
      <c r="V93" s="80">
        <f t="shared" si="24"/>
        <v>211011.5</v>
      </c>
      <c r="W93" s="94">
        <f t="shared" si="48"/>
        <v>865586.63205667352</v>
      </c>
      <c r="X93" s="328">
        <f t="shared" si="49"/>
        <v>-844046</v>
      </c>
    </row>
    <row r="94" spans="1:24" x14ac:dyDescent="0.3">
      <c r="A94" s="327" t="s">
        <v>149</v>
      </c>
      <c r="B94" s="51" t="s">
        <v>166</v>
      </c>
      <c r="C94" s="51" t="s">
        <v>162</v>
      </c>
      <c r="D94" s="383">
        <v>16340</v>
      </c>
      <c r="E94" s="6">
        <v>37</v>
      </c>
      <c r="F94" s="9" t="s">
        <v>16</v>
      </c>
      <c r="G94" s="9" t="s">
        <v>79</v>
      </c>
      <c r="H94" s="23">
        <v>72</v>
      </c>
      <c r="I94" s="46">
        <v>834714.98173539888</v>
      </c>
      <c r="J94" s="105">
        <v>855470.4</v>
      </c>
      <c r="K94" s="81">
        <f t="shared" si="46"/>
        <v>-20755.418264601147</v>
      </c>
      <c r="L94" s="81">
        <f t="shared" si="47"/>
        <v>171094.08000000002</v>
      </c>
      <c r="M94" s="81"/>
      <c r="N94" s="81"/>
      <c r="O94" s="81"/>
      <c r="P94" s="81"/>
      <c r="Q94" s="81"/>
      <c r="R94" s="81"/>
      <c r="S94" s="81"/>
      <c r="T94" s="81"/>
      <c r="U94" s="79">
        <f t="shared" si="23"/>
        <v>0</v>
      </c>
      <c r="V94" s="80">
        <f t="shared" si="24"/>
        <v>171094.08000000002</v>
      </c>
      <c r="W94" s="94">
        <f t="shared" si="48"/>
        <v>663620.90173539892</v>
      </c>
      <c r="X94" s="328">
        <f t="shared" si="49"/>
        <v>-684376.32000000007</v>
      </c>
    </row>
    <row r="95" spans="1:24" s="194" customFormat="1" x14ac:dyDescent="0.3">
      <c r="A95" s="333" t="s">
        <v>151</v>
      </c>
      <c r="B95" s="333"/>
      <c r="C95" s="196"/>
      <c r="D95" s="394"/>
      <c r="E95" s="197"/>
      <c r="F95" s="198"/>
      <c r="G95" s="198"/>
      <c r="H95" s="199">
        <f>SUM(H91:H94)</f>
        <v>375</v>
      </c>
      <c r="I95" s="199">
        <f t="shared" ref="I95:X95" si="50">SUM(I91:I94)</f>
        <v>4611612.8287132559</v>
      </c>
      <c r="J95" s="199">
        <f t="shared" si="50"/>
        <v>4430619.1500000004</v>
      </c>
      <c r="K95" s="199">
        <f t="shared" si="50"/>
        <v>180993.67871325649</v>
      </c>
      <c r="L95" s="199">
        <f t="shared" si="50"/>
        <v>886123.83000000007</v>
      </c>
      <c r="M95" s="199">
        <f t="shared" si="50"/>
        <v>0</v>
      </c>
      <c r="N95" s="199">
        <f t="shared" si="50"/>
        <v>0</v>
      </c>
      <c r="O95" s="199">
        <f t="shared" si="50"/>
        <v>0</v>
      </c>
      <c r="P95" s="199">
        <f t="shared" si="50"/>
        <v>0</v>
      </c>
      <c r="Q95" s="199">
        <f t="shared" si="50"/>
        <v>0</v>
      </c>
      <c r="R95" s="199">
        <f t="shared" si="50"/>
        <v>0</v>
      </c>
      <c r="S95" s="199">
        <f t="shared" si="50"/>
        <v>0</v>
      </c>
      <c r="T95" s="199">
        <f t="shared" si="50"/>
        <v>0</v>
      </c>
      <c r="U95" s="199">
        <f t="shared" si="50"/>
        <v>0</v>
      </c>
      <c r="V95" s="199">
        <f t="shared" si="50"/>
        <v>886123.83000000007</v>
      </c>
      <c r="W95" s="199">
        <f t="shared" si="50"/>
        <v>3725488.9987132563</v>
      </c>
      <c r="X95" s="330">
        <f t="shared" si="50"/>
        <v>-3544495.3200000003</v>
      </c>
    </row>
    <row r="96" spans="1:24" x14ac:dyDescent="0.3">
      <c r="A96" s="327" t="s">
        <v>150</v>
      </c>
      <c r="B96" s="51" t="s">
        <v>167</v>
      </c>
      <c r="C96" s="47" t="s">
        <v>163</v>
      </c>
      <c r="D96" s="6">
        <v>16879</v>
      </c>
      <c r="E96" s="6">
        <v>10</v>
      </c>
      <c r="F96" s="10" t="s">
        <v>45</v>
      </c>
      <c r="G96" s="10" t="s">
        <v>80</v>
      </c>
      <c r="H96" s="23">
        <v>45</v>
      </c>
      <c r="I96" s="46">
        <v>2977703.4487980008</v>
      </c>
      <c r="J96" s="105">
        <v>2820458.25</v>
      </c>
      <c r="K96" s="81">
        <f t="shared" ref="K96:K100" si="51">I96-J96</f>
        <v>157245.19879800081</v>
      </c>
      <c r="L96" s="81">
        <f t="shared" si="47"/>
        <v>564091.65</v>
      </c>
      <c r="M96" s="81"/>
      <c r="N96" s="81"/>
      <c r="O96" s="81"/>
      <c r="P96" s="81"/>
      <c r="Q96" s="81"/>
      <c r="R96" s="81"/>
      <c r="S96" s="81"/>
      <c r="T96" s="81"/>
      <c r="U96" s="79">
        <f t="shared" si="23"/>
        <v>0</v>
      </c>
      <c r="V96" s="80">
        <f t="shared" si="24"/>
        <v>564091.65</v>
      </c>
      <c r="W96" s="94">
        <f t="shared" si="48"/>
        <v>2413611.7987980009</v>
      </c>
      <c r="X96" s="328">
        <f t="shared" si="49"/>
        <v>-2256366.6</v>
      </c>
    </row>
    <row r="97" spans="1:24" x14ac:dyDescent="0.3">
      <c r="A97" s="327" t="s">
        <v>150</v>
      </c>
      <c r="B97" s="51" t="s">
        <v>167</v>
      </c>
      <c r="C97" s="47" t="s">
        <v>163</v>
      </c>
      <c r="D97" s="6">
        <v>16879</v>
      </c>
      <c r="E97" s="6">
        <v>11</v>
      </c>
      <c r="F97" s="10" t="s">
        <v>45</v>
      </c>
      <c r="G97" s="10" t="s">
        <v>81</v>
      </c>
      <c r="H97" s="23">
        <v>102</v>
      </c>
      <c r="I97" s="46">
        <v>2977703.4487980008</v>
      </c>
      <c r="J97" s="105">
        <v>2860148.26</v>
      </c>
      <c r="K97" s="81">
        <f t="shared" si="51"/>
        <v>117555.18879800104</v>
      </c>
      <c r="L97" s="81">
        <f t="shared" si="47"/>
        <v>572029.652</v>
      </c>
      <c r="M97" s="81"/>
      <c r="N97" s="81"/>
      <c r="O97" s="81"/>
      <c r="P97" s="81"/>
      <c r="Q97" s="81"/>
      <c r="R97" s="81"/>
      <c r="S97" s="81"/>
      <c r="T97" s="81"/>
      <c r="U97" s="79">
        <f t="shared" si="23"/>
        <v>0</v>
      </c>
      <c r="V97" s="80">
        <f t="shared" si="24"/>
        <v>572029.652</v>
      </c>
      <c r="W97" s="94">
        <f t="shared" si="48"/>
        <v>2405673.796798001</v>
      </c>
      <c r="X97" s="328">
        <f t="shared" si="49"/>
        <v>-2288118.608</v>
      </c>
    </row>
    <row r="98" spans="1:24" x14ac:dyDescent="0.3">
      <c r="A98" s="327" t="s">
        <v>150</v>
      </c>
      <c r="B98" s="51" t="s">
        <v>167</v>
      </c>
      <c r="C98" s="47" t="s">
        <v>163</v>
      </c>
      <c r="D98" s="6">
        <v>16879</v>
      </c>
      <c r="E98" s="6">
        <v>12</v>
      </c>
      <c r="F98" s="10" t="s">
        <v>45</v>
      </c>
      <c r="G98" s="10" t="s">
        <v>79</v>
      </c>
      <c r="H98" s="23">
        <v>72</v>
      </c>
      <c r="I98" s="46">
        <v>3256812.1987980008</v>
      </c>
      <c r="J98" s="105">
        <v>2980230.26</v>
      </c>
      <c r="K98" s="81">
        <f t="shared" si="51"/>
        <v>276581.93879800104</v>
      </c>
      <c r="L98" s="81">
        <f t="shared" si="47"/>
        <v>596046.05200000003</v>
      </c>
      <c r="M98" s="81"/>
      <c r="N98" s="81"/>
      <c r="O98" s="81"/>
      <c r="P98" s="81"/>
      <c r="Q98" s="81"/>
      <c r="R98" s="81"/>
      <c r="S98" s="81"/>
      <c r="T98" s="81"/>
      <c r="U98" s="79">
        <f t="shared" si="23"/>
        <v>0</v>
      </c>
      <c r="V98" s="80">
        <f t="shared" si="24"/>
        <v>596046.05200000003</v>
      </c>
      <c r="W98" s="94">
        <f t="shared" si="48"/>
        <v>2660766.1467980007</v>
      </c>
      <c r="X98" s="328">
        <f t="shared" si="49"/>
        <v>-2384184.2079999996</v>
      </c>
    </row>
    <row r="99" spans="1:24" x14ac:dyDescent="0.3">
      <c r="A99" s="327" t="s">
        <v>150</v>
      </c>
      <c r="B99" s="51" t="s">
        <v>167</v>
      </c>
      <c r="C99" s="47" t="s">
        <v>163</v>
      </c>
      <c r="D99" s="6">
        <v>16879</v>
      </c>
      <c r="E99" s="6">
        <v>13</v>
      </c>
      <c r="F99" s="10" t="s">
        <v>45</v>
      </c>
      <c r="G99" s="10" t="s">
        <v>82</v>
      </c>
      <c r="H99" s="23">
        <v>180</v>
      </c>
      <c r="I99" s="46">
        <v>3446792.1987980008</v>
      </c>
      <c r="J99" s="105">
        <v>3102360.26</v>
      </c>
      <c r="K99" s="81">
        <f t="shared" si="51"/>
        <v>344431.93879800104</v>
      </c>
      <c r="L99" s="81">
        <f t="shared" si="47"/>
        <v>620472.05200000003</v>
      </c>
      <c r="M99" s="81"/>
      <c r="N99" s="81"/>
      <c r="O99" s="81"/>
      <c r="P99" s="81"/>
      <c r="Q99" s="81"/>
      <c r="R99" s="81"/>
      <c r="S99" s="81"/>
      <c r="T99" s="81"/>
      <c r="U99" s="79">
        <f t="shared" si="23"/>
        <v>0</v>
      </c>
      <c r="V99" s="80">
        <f t="shared" si="24"/>
        <v>620472.05200000003</v>
      </c>
      <c r="W99" s="94">
        <f t="shared" si="48"/>
        <v>2826320.1467980007</v>
      </c>
      <c r="X99" s="328">
        <f t="shared" si="49"/>
        <v>-2481888.2079999996</v>
      </c>
    </row>
    <row r="100" spans="1:24" x14ac:dyDescent="0.3">
      <c r="A100" s="327" t="s">
        <v>150</v>
      </c>
      <c r="B100" s="51" t="s">
        <v>167</v>
      </c>
      <c r="C100" s="47" t="s">
        <v>163</v>
      </c>
      <c r="D100" s="6">
        <v>16879</v>
      </c>
      <c r="E100" s="6">
        <v>14</v>
      </c>
      <c r="F100" s="10" t="s">
        <v>45</v>
      </c>
      <c r="G100" s="10" t="s">
        <v>76</v>
      </c>
      <c r="H100" s="23">
        <v>150</v>
      </c>
      <c r="I100" s="46">
        <v>2977703.4487980008</v>
      </c>
      <c r="J100" s="105">
        <v>2820458.26</v>
      </c>
      <c r="K100" s="81">
        <f t="shared" si="51"/>
        <v>157245.18879800104</v>
      </c>
      <c r="L100" s="81">
        <f t="shared" si="47"/>
        <v>564091.652</v>
      </c>
      <c r="M100" s="81"/>
      <c r="N100" s="81"/>
      <c r="O100" s="81"/>
      <c r="P100" s="81"/>
      <c r="Q100" s="81"/>
      <c r="R100" s="81"/>
      <c r="S100" s="81"/>
      <c r="T100" s="81"/>
      <c r="U100" s="79">
        <f t="shared" si="23"/>
        <v>0</v>
      </c>
      <c r="V100" s="80">
        <f t="shared" si="24"/>
        <v>564091.652</v>
      </c>
      <c r="W100" s="94">
        <f t="shared" si="48"/>
        <v>2413611.796798001</v>
      </c>
      <c r="X100" s="328">
        <f t="shared" si="49"/>
        <v>-2256366.608</v>
      </c>
    </row>
    <row r="101" spans="1:24" s="194" customFormat="1" ht="16.2" thickBot="1" x14ac:dyDescent="0.35">
      <c r="A101" s="333" t="s">
        <v>152</v>
      </c>
      <c r="B101" s="402"/>
      <c r="C101" s="366"/>
      <c r="D101" s="366"/>
      <c r="E101" s="366"/>
      <c r="F101" s="366"/>
      <c r="G101" s="366"/>
      <c r="H101" s="356">
        <f>SUM(H96:H100)</f>
        <v>549</v>
      </c>
      <c r="I101" s="356">
        <f t="shared" ref="I101:X101" si="52">SUM(I96:I100)</f>
        <v>15636714.743990004</v>
      </c>
      <c r="J101" s="356">
        <f t="shared" si="52"/>
        <v>14583655.289999999</v>
      </c>
      <c r="K101" s="356">
        <f t="shared" si="52"/>
        <v>1053059.453990005</v>
      </c>
      <c r="L101" s="356">
        <f t="shared" si="52"/>
        <v>2916731.0580000002</v>
      </c>
      <c r="M101" s="356">
        <f t="shared" si="52"/>
        <v>0</v>
      </c>
      <c r="N101" s="356">
        <f t="shared" si="52"/>
        <v>0</v>
      </c>
      <c r="O101" s="356">
        <f t="shared" si="52"/>
        <v>0</v>
      </c>
      <c r="P101" s="356">
        <f t="shared" si="52"/>
        <v>0</v>
      </c>
      <c r="Q101" s="356">
        <f t="shared" si="52"/>
        <v>0</v>
      </c>
      <c r="R101" s="356">
        <f t="shared" si="52"/>
        <v>0</v>
      </c>
      <c r="S101" s="356">
        <f t="shared" si="52"/>
        <v>0</v>
      </c>
      <c r="T101" s="356">
        <f t="shared" si="52"/>
        <v>0</v>
      </c>
      <c r="U101" s="356">
        <f t="shared" si="52"/>
        <v>0</v>
      </c>
      <c r="V101" s="356">
        <f t="shared" si="52"/>
        <v>2916731.0580000002</v>
      </c>
      <c r="W101" s="356">
        <f t="shared" si="52"/>
        <v>12719983.685990006</v>
      </c>
      <c r="X101" s="357">
        <f t="shared" si="52"/>
        <v>-11666924.232000001</v>
      </c>
    </row>
    <row r="102" spans="1:24" s="194" customFormat="1" ht="16.2" thickBot="1" x14ac:dyDescent="0.35">
      <c r="A102" s="333" t="s">
        <v>148</v>
      </c>
      <c r="B102" s="333"/>
      <c r="C102" s="358"/>
      <c r="D102" s="392"/>
      <c r="E102" s="338"/>
      <c r="F102" s="359"/>
      <c r="G102" s="340"/>
      <c r="H102" s="340">
        <f t="shared" ref="H102:X102" si="53">H95+H101</f>
        <v>924</v>
      </c>
      <c r="I102" s="340">
        <f t="shared" si="53"/>
        <v>20248327.572703261</v>
      </c>
      <c r="J102" s="340">
        <f t="shared" si="53"/>
        <v>19014274.439999998</v>
      </c>
      <c r="K102" s="340">
        <f t="shared" si="53"/>
        <v>1234053.1327032614</v>
      </c>
      <c r="L102" s="340">
        <f t="shared" si="53"/>
        <v>3802854.8880000003</v>
      </c>
      <c r="M102" s="340">
        <f t="shared" si="53"/>
        <v>0</v>
      </c>
      <c r="N102" s="340">
        <f t="shared" si="53"/>
        <v>0</v>
      </c>
      <c r="O102" s="340">
        <f t="shared" si="53"/>
        <v>0</v>
      </c>
      <c r="P102" s="340">
        <f t="shared" si="53"/>
        <v>0</v>
      </c>
      <c r="Q102" s="340">
        <f t="shared" si="53"/>
        <v>0</v>
      </c>
      <c r="R102" s="340">
        <f t="shared" si="53"/>
        <v>0</v>
      </c>
      <c r="S102" s="340">
        <f t="shared" si="53"/>
        <v>0</v>
      </c>
      <c r="T102" s="340">
        <f t="shared" si="53"/>
        <v>0</v>
      </c>
      <c r="U102" s="340">
        <f t="shared" si="53"/>
        <v>0</v>
      </c>
      <c r="V102" s="340">
        <f t="shared" si="53"/>
        <v>3802854.8880000003</v>
      </c>
      <c r="W102" s="340">
        <f t="shared" si="53"/>
        <v>16445472.684703263</v>
      </c>
      <c r="X102" s="341">
        <f t="shared" si="53"/>
        <v>-15211419.552000001</v>
      </c>
    </row>
    <row r="103" spans="1:24" ht="31.8" thickBot="1" x14ac:dyDescent="0.35">
      <c r="A103" s="327" t="s">
        <v>148</v>
      </c>
      <c r="B103" s="327" t="s">
        <v>168</v>
      </c>
      <c r="C103" s="61" t="s">
        <v>164</v>
      </c>
      <c r="D103" s="389" t="s">
        <v>169</v>
      </c>
      <c r="E103" s="53" t="s">
        <v>176</v>
      </c>
      <c r="F103" s="407" t="s">
        <v>83</v>
      </c>
      <c r="G103" s="407"/>
      <c r="H103" s="54" t="s">
        <v>4</v>
      </c>
      <c r="I103" s="54" t="s">
        <v>5</v>
      </c>
      <c r="J103" s="103" t="s">
        <v>131</v>
      </c>
      <c r="K103" s="54" t="s">
        <v>145</v>
      </c>
      <c r="L103" s="55">
        <v>0.2</v>
      </c>
      <c r="M103" s="54" t="s">
        <v>132</v>
      </c>
      <c r="N103" s="54" t="s">
        <v>133</v>
      </c>
      <c r="O103" s="54" t="s">
        <v>134</v>
      </c>
      <c r="P103" s="54" t="s">
        <v>135</v>
      </c>
      <c r="Q103" s="54" t="s">
        <v>136</v>
      </c>
      <c r="R103" s="54" t="s">
        <v>137</v>
      </c>
      <c r="S103" s="54" t="s">
        <v>138</v>
      </c>
      <c r="T103" s="54" t="s">
        <v>139</v>
      </c>
      <c r="U103" s="53" t="s">
        <v>140</v>
      </c>
      <c r="V103" s="54" t="s">
        <v>144</v>
      </c>
      <c r="W103" s="56" t="s">
        <v>141</v>
      </c>
      <c r="X103" s="269" t="s">
        <v>160</v>
      </c>
    </row>
    <row r="104" spans="1:24" x14ac:dyDescent="0.3">
      <c r="A104" s="327" t="s">
        <v>149</v>
      </c>
      <c r="B104" s="51" t="s">
        <v>166</v>
      </c>
      <c r="C104" s="51" t="s">
        <v>162</v>
      </c>
      <c r="D104" s="383">
        <v>16340</v>
      </c>
      <c r="E104" s="19">
        <v>38</v>
      </c>
      <c r="F104" s="8" t="s">
        <v>16</v>
      </c>
      <c r="G104" s="13" t="s">
        <v>84</v>
      </c>
      <c r="H104" s="33">
        <v>78</v>
      </c>
      <c r="I104" s="206">
        <v>477077.4</v>
      </c>
      <c r="J104" s="104">
        <v>406995.03</v>
      </c>
      <c r="K104" s="82">
        <f t="shared" ref="K104" si="54">I104-J104</f>
        <v>70082.37</v>
      </c>
      <c r="L104" s="82">
        <f>J104*20%</f>
        <v>81399.006000000008</v>
      </c>
      <c r="M104" s="82"/>
      <c r="N104" s="82"/>
      <c r="O104" s="82"/>
      <c r="P104" s="82"/>
      <c r="Q104" s="82"/>
      <c r="R104" s="82"/>
      <c r="S104" s="82"/>
      <c r="T104" s="82"/>
      <c r="U104" s="84">
        <f t="shared" si="23"/>
        <v>0</v>
      </c>
      <c r="V104" s="85">
        <f t="shared" si="24"/>
        <v>81399.006000000008</v>
      </c>
      <c r="W104" s="86">
        <f>I104-V104</f>
        <v>395678.39400000003</v>
      </c>
      <c r="X104" s="328">
        <f t="shared" ref="X104:X107" si="55">K104-W104</f>
        <v>-325596.02400000003</v>
      </c>
    </row>
    <row r="105" spans="1:24" s="202" customFormat="1" x14ac:dyDescent="0.3">
      <c r="A105" s="334" t="s">
        <v>151</v>
      </c>
      <c r="B105" s="334"/>
      <c r="C105" s="200"/>
      <c r="D105" s="395"/>
      <c r="E105" s="197"/>
      <c r="F105" s="198"/>
      <c r="G105" s="201"/>
      <c r="H105" s="199">
        <f>SUM(H104)</f>
        <v>78</v>
      </c>
      <c r="I105" s="199">
        <f t="shared" ref="I105:X105" si="56">SUM(I104)</f>
        <v>477077.4</v>
      </c>
      <c r="J105" s="199">
        <f t="shared" si="56"/>
        <v>406995.03</v>
      </c>
      <c r="K105" s="199">
        <f t="shared" si="56"/>
        <v>70082.37</v>
      </c>
      <c r="L105" s="199">
        <f t="shared" si="56"/>
        <v>81399.006000000008</v>
      </c>
      <c r="M105" s="199">
        <f t="shared" si="56"/>
        <v>0</v>
      </c>
      <c r="N105" s="199">
        <f t="shared" si="56"/>
        <v>0</v>
      </c>
      <c r="O105" s="199">
        <f t="shared" si="56"/>
        <v>0</v>
      </c>
      <c r="P105" s="199">
        <f t="shared" si="56"/>
        <v>0</v>
      </c>
      <c r="Q105" s="199">
        <f t="shared" si="56"/>
        <v>0</v>
      </c>
      <c r="R105" s="199">
        <f t="shared" si="56"/>
        <v>0</v>
      </c>
      <c r="S105" s="199">
        <f t="shared" si="56"/>
        <v>0</v>
      </c>
      <c r="T105" s="199">
        <f t="shared" si="56"/>
        <v>0</v>
      </c>
      <c r="U105" s="199">
        <f t="shared" si="56"/>
        <v>0</v>
      </c>
      <c r="V105" s="199">
        <f t="shared" si="56"/>
        <v>81399.006000000008</v>
      </c>
      <c r="W105" s="199">
        <f t="shared" si="56"/>
        <v>395678.39400000003</v>
      </c>
      <c r="X105" s="330">
        <f t="shared" si="56"/>
        <v>-325596.02400000003</v>
      </c>
    </row>
    <row r="106" spans="1:24" x14ac:dyDescent="0.3">
      <c r="A106" s="327" t="s">
        <v>150</v>
      </c>
      <c r="B106" s="51" t="s">
        <v>167</v>
      </c>
      <c r="C106" s="47" t="s">
        <v>163</v>
      </c>
      <c r="D106" s="6">
        <v>16879</v>
      </c>
      <c r="E106" s="6">
        <v>15</v>
      </c>
      <c r="F106" s="16" t="s">
        <v>44</v>
      </c>
      <c r="G106" s="16" t="s">
        <v>85</v>
      </c>
      <c r="H106" s="23">
        <v>450</v>
      </c>
      <c r="I106" s="46">
        <v>3066832.1987980008</v>
      </c>
      <c r="J106" s="105">
        <v>2826004.25</v>
      </c>
      <c r="K106" s="81">
        <f t="shared" ref="K106:K107" si="57">I106-J106</f>
        <v>240827.94879800081</v>
      </c>
      <c r="L106" s="81">
        <f>J106*20%</f>
        <v>565200.85</v>
      </c>
      <c r="M106" s="81"/>
      <c r="N106" s="81"/>
      <c r="O106" s="81"/>
      <c r="P106" s="81"/>
      <c r="Q106" s="81"/>
      <c r="R106" s="81"/>
      <c r="S106" s="81"/>
      <c r="T106" s="81"/>
      <c r="U106" s="79">
        <f t="shared" si="23"/>
        <v>0</v>
      </c>
      <c r="V106" s="80">
        <f t="shared" si="24"/>
        <v>565200.85</v>
      </c>
      <c r="W106" s="94">
        <f>I106-V106</f>
        <v>2501631.3487980007</v>
      </c>
      <c r="X106" s="328">
        <f t="shared" si="55"/>
        <v>-2260803.4</v>
      </c>
    </row>
    <row r="107" spans="1:24" x14ac:dyDescent="0.3">
      <c r="A107" s="327" t="s">
        <v>150</v>
      </c>
      <c r="B107" s="51" t="s">
        <v>167</v>
      </c>
      <c r="C107" s="47" t="s">
        <v>163</v>
      </c>
      <c r="D107" s="6">
        <v>16879</v>
      </c>
      <c r="E107" s="6">
        <v>16</v>
      </c>
      <c r="F107" s="16" t="s">
        <v>45</v>
      </c>
      <c r="G107" s="16" t="s">
        <v>86</v>
      </c>
      <c r="H107" s="23">
        <v>450</v>
      </c>
      <c r="I107" s="46">
        <v>2977703.4487980008</v>
      </c>
      <c r="J107" s="105">
        <v>2756148.26</v>
      </c>
      <c r="K107" s="81">
        <f t="shared" si="57"/>
        <v>221555.18879800104</v>
      </c>
      <c r="L107" s="81">
        <f>J107*20%</f>
        <v>551229.652</v>
      </c>
      <c r="M107" s="81"/>
      <c r="N107" s="81"/>
      <c r="O107" s="81"/>
      <c r="P107" s="81"/>
      <c r="Q107" s="81"/>
      <c r="R107" s="81"/>
      <c r="S107" s="81"/>
      <c r="T107" s="81"/>
      <c r="U107" s="79">
        <f t="shared" si="23"/>
        <v>0</v>
      </c>
      <c r="V107" s="80">
        <f t="shared" si="24"/>
        <v>551229.652</v>
      </c>
      <c r="W107" s="94">
        <f>I107-V107</f>
        <v>2426473.796798001</v>
      </c>
      <c r="X107" s="328">
        <f t="shared" si="55"/>
        <v>-2204918.608</v>
      </c>
    </row>
    <row r="108" spans="1:24" s="194" customFormat="1" ht="16.2" thickBot="1" x14ac:dyDescent="0.35">
      <c r="A108" s="333" t="s">
        <v>152</v>
      </c>
      <c r="B108" s="402"/>
      <c r="C108" s="360"/>
      <c r="D108" s="360"/>
      <c r="E108" s="360"/>
      <c r="F108" s="360"/>
      <c r="G108" s="360"/>
      <c r="H108" s="361">
        <f>SUM(H106:H107)</f>
        <v>900</v>
      </c>
      <c r="I108" s="361">
        <f t="shared" ref="I108:X108" si="58">SUM(I106:I107)</f>
        <v>6044535.6475960016</v>
      </c>
      <c r="J108" s="361">
        <f t="shared" si="58"/>
        <v>5582152.5099999998</v>
      </c>
      <c r="K108" s="361">
        <f t="shared" si="58"/>
        <v>462383.13759600185</v>
      </c>
      <c r="L108" s="361">
        <f t="shared" si="58"/>
        <v>1116430.5019999999</v>
      </c>
      <c r="M108" s="361">
        <f t="shared" si="58"/>
        <v>0</v>
      </c>
      <c r="N108" s="361">
        <f t="shared" si="58"/>
        <v>0</v>
      </c>
      <c r="O108" s="361">
        <f t="shared" si="58"/>
        <v>0</v>
      </c>
      <c r="P108" s="361">
        <f t="shared" si="58"/>
        <v>0</v>
      </c>
      <c r="Q108" s="361">
        <f t="shared" si="58"/>
        <v>0</v>
      </c>
      <c r="R108" s="361">
        <f t="shared" si="58"/>
        <v>0</v>
      </c>
      <c r="S108" s="361">
        <f t="shared" si="58"/>
        <v>0</v>
      </c>
      <c r="T108" s="361">
        <f t="shared" si="58"/>
        <v>0</v>
      </c>
      <c r="U108" s="361">
        <f t="shared" si="58"/>
        <v>0</v>
      </c>
      <c r="V108" s="361">
        <f t="shared" si="58"/>
        <v>1116430.5019999999</v>
      </c>
      <c r="W108" s="361">
        <f t="shared" si="58"/>
        <v>4928105.1455960013</v>
      </c>
      <c r="X108" s="362">
        <f t="shared" si="58"/>
        <v>-4465722.0079999994</v>
      </c>
    </row>
    <row r="109" spans="1:24" s="194" customFormat="1" ht="16.2" thickBot="1" x14ac:dyDescent="0.35">
      <c r="A109" s="333" t="s">
        <v>148</v>
      </c>
      <c r="B109" s="333"/>
      <c r="C109" s="358"/>
      <c r="D109" s="392"/>
      <c r="E109" s="363"/>
      <c r="F109" s="363"/>
      <c r="G109" s="363"/>
      <c r="H109" s="364">
        <f t="shared" ref="H109:X109" si="59">H105+H108</f>
        <v>978</v>
      </c>
      <c r="I109" s="364">
        <f t="shared" si="59"/>
        <v>6521613.047596002</v>
      </c>
      <c r="J109" s="364">
        <f t="shared" si="59"/>
        <v>5989147.54</v>
      </c>
      <c r="K109" s="364">
        <f t="shared" si="59"/>
        <v>532465.50759600184</v>
      </c>
      <c r="L109" s="364">
        <f t="shared" si="59"/>
        <v>1197829.5079999999</v>
      </c>
      <c r="M109" s="364">
        <f t="shared" si="59"/>
        <v>0</v>
      </c>
      <c r="N109" s="364">
        <f t="shared" si="59"/>
        <v>0</v>
      </c>
      <c r="O109" s="364">
        <f t="shared" si="59"/>
        <v>0</v>
      </c>
      <c r="P109" s="364">
        <f t="shared" si="59"/>
        <v>0</v>
      </c>
      <c r="Q109" s="364">
        <f t="shared" si="59"/>
        <v>0</v>
      </c>
      <c r="R109" s="364">
        <f t="shared" si="59"/>
        <v>0</v>
      </c>
      <c r="S109" s="364">
        <f t="shared" si="59"/>
        <v>0</v>
      </c>
      <c r="T109" s="364">
        <f t="shared" si="59"/>
        <v>0</v>
      </c>
      <c r="U109" s="364">
        <f t="shared" si="59"/>
        <v>0</v>
      </c>
      <c r="V109" s="364">
        <f t="shared" si="59"/>
        <v>1197829.5079999999</v>
      </c>
      <c r="W109" s="364">
        <f t="shared" si="59"/>
        <v>5323783.5395960016</v>
      </c>
      <c r="X109" s="365">
        <f t="shared" si="59"/>
        <v>-4791318.0319999997</v>
      </c>
    </row>
    <row r="110" spans="1:24" ht="31.8" thickBot="1" x14ac:dyDescent="0.35">
      <c r="A110" s="327" t="s">
        <v>148</v>
      </c>
      <c r="B110" s="327" t="s">
        <v>168</v>
      </c>
      <c r="C110" s="61" t="s">
        <v>164</v>
      </c>
      <c r="D110" s="389" t="s">
        <v>169</v>
      </c>
      <c r="E110" s="53" t="s">
        <v>177</v>
      </c>
      <c r="F110" s="407" t="s">
        <v>87</v>
      </c>
      <c r="G110" s="407"/>
      <c r="H110" s="54" t="s">
        <v>4</v>
      </c>
      <c r="I110" s="54" t="s">
        <v>5</v>
      </c>
      <c r="J110" s="103" t="s">
        <v>131</v>
      </c>
      <c r="K110" s="54" t="s">
        <v>145</v>
      </c>
      <c r="L110" s="55">
        <v>0.2</v>
      </c>
      <c r="M110" s="54" t="s">
        <v>132</v>
      </c>
      <c r="N110" s="54" t="s">
        <v>133</v>
      </c>
      <c r="O110" s="54" t="s">
        <v>134</v>
      </c>
      <c r="P110" s="54" t="s">
        <v>135</v>
      </c>
      <c r="Q110" s="54" t="s">
        <v>136</v>
      </c>
      <c r="R110" s="54" t="s">
        <v>137</v>
      </c>
      <c r="S110" s="54" t="s">
        <v>138</v>
      </c>
      <c r="T110" s="54" t="s">
        <v>139</v>
      </c>
      <c r="U110" s="53" t="s">
        <v>140</v>
      </c>
      <c r="V110" s="54" t="s">
        <v>144</v>
      </c>
      <c r="W110" s="56" t="s">
        <v>141</v>
      </c>
      <c r="X110" s="269" t="s">
        <v>160</v>
      </c>
    </row>
    <row r="111" spans="1:24" x14ac:dyDescent="0.3">
      <c r="A111" s="327" t="s">
        <v>149</v>
      </c>
      <c r="B111" s="51" t="s">
        <v>166</v>
      </c>
      <c r="C111" s="51" t="s">
        <v>162</v>
      </c>
      <c r="D111" s="383">
        <v>16340</v>
      </c>
      <c r="E111" s="19">
        <v>39</v>
      </c>
      <c r="F111" s="8" t="s">
        <v>16</v>
      </c>
      <c r="G111" s="13" t="s">
        <v>88</v>
      </c>
      <c r="H111" s="33">
        <v>75</v>
      </c>
      <c r="I111" s="206">
        <v>203011.66</v>
      </c>
      <c r="J111" s="104">
        <v>249051.6</v>
      </c>
      <c r="K111" s="82">
        <f t="shared" ref="K111:K113" si="60">I111-J111</f>
        <v>-46039.94</v>
      </c>
      <c r="L111" s="82">
        <f>J111*20%</f>
        <v>49810.320000000007</v>
      </c>
      <c r="M111" s="82"/>
      <c r="N111" s="82"/>
      <c r="O111" s="82"/>
      <c r="P111" s="82"/>
      <c r="Q111" s="82"/>
      <c r="R111" s="82"/>
      <c r="S111" s="82"/>
      <c r="T111" s="82"/>
      <c r="U111" s="84">
        <f t="shared" si="23"/>
        <v>0</v>
      </c>
      <c r="V111" s="85">
        <f t="shared" si="24"/>
        <v>49810.320000000007</v>
      </c>
      <c r="W111" s="86">
        <f>I111-V111</f>
        <v>153201.34</v>
      </c>
      <c r="X111" s="328">
        <f t="shared" ref="X111:X115" si="61">K111-W111</f>
        <v>-199241.28</v>
      </c>
    </row>
    <row r="112" spans="1:24" x14ac:dyDescent="0.3">
      <c r="A112" s="327" t="s">
        <v>149</v>
      </c>
      <c r="B112" s="51" t="s">
        <v>166</v>
      </c>
      <c r="C112" s="51" t="s">
        <v>162</v>
      </c>
      <c r="D112" s="383">
        <v>16340</v>
      </c>
      <c r="E112" s="6">
        <v>40</v>
      </c>
      <c r="F112" s="9" t="s">
        <v>16</v>
      </c>
      <c r="G112" s="10" t="s">
        <v>89</v>
      </c>
      <c r="H112" s="23">
        <v>48</v>
      </c>
      <c r="I112" s="46">
        <v>152258.75</v>
      </c>
      <c r="J112" s="105">
        <v>194994.46</v>
      </c>
      <c r="K112" s="81">
        <f t="shared" si="60"/>
        <v>-42735.709999999992</v>
      </c>
      <c r="L112" s="81">
        <f>J112*20%</f>
        <v>38998.892</v>
      </c>
      <c r="M112" s="81"/>
      <c r="N112" s="81"/>
      <c r="O112" s="81"/>
      <c r="P112" s="81"/>
      <c r="Q112" s="81"/>
      <c r="R112" s="81"/>
      <c r="S112" s="81"/>
      <c r="T112" s="81"/>
      <c r="U112" s="79">
        <f t="shared" ref="U112:U122" si="62">SUM(M112:T112)</f>
        <v>0</v>
      </c>
      <c r="V112" s="80">
        <f t="shared" ref="V112:V125" si="63">L112+U112</f>
        <v>38998.892</v>
      </c>
      <c r="W112" s="94">
        <f>I112-V112</f>
        <v>113259.85800000001</v>
      </c>
      <c r="X112" s="328">
        <f t="shared" si="61"/>
        <v>-155995.568</v>
      </c>
    </row>
    <row r="113" spans="1:24" x14ac:dyDescent="0.3">
      <c r="A113" s="327" t="s">
        <v>149</v>
      </c>
      <c r="B113" s="51" t="s">
        <v>166</v>
      </c>
      <c r="C113" s="51" t="s">
        <v>162</v>
      </c>
      <c r="D113" s="383">
        <v>16340</v>
      </c>
      <c r="E113" s="6">
        <v>41</v>
      </c>
      <c r="F113" s="9" t="s">
        <v>16</v>
      </c>
      <c r="G113" s="10" t="s">
        <v>90</v>
      </c>
      <c r="H113" s="23">
        <v>57</v>
      </c>
      <c r="I113" s="46">
        <v>314668.07</v>
      </c>
      <c r="J113" s="105">
        <v>295365.96000000002</v>
      </c>
      <c r="K113" s="81">
        <f t="shared" si="60"/>
        <v>19302.109999999986</v>
      </c>
      <c r="L113" s="81">
        <f>J113*20%</f>
        <v>59073.19200000001</v>
      </c>
      <c r="M113" s="81"/>
      <c r="N113" s="81"/>
      <c r="O113" s="81"/>
      <c r="P113" s="81"/>
      <c r="Q113" s="81"/>
      <c r="R113" s="81"/>
      <c r="S113" s="81"/>
      <c r="T113" s="81"/>
      <c r="U113" s="79">
        <f t="shared" si="62"/>
        <v>0</v>
      </c>
      <c r="V113" s="80">
        <f t="shared" si="63"/>
        <v>59073.19200000001</v>
      </c>
      <c r="W113" s="94">
        <f>I113-V113</f>
        <v>255594.878</v>
      </c>
      <c r="X113" s="328">
        <f t="shared" si="61"/>
        <v>-236292.76800000001</v>
      </c>
    </row>
    <row r="114" spans="1:24" s="194" customFormat="1" x14ac:dyDescent="0.3">
      <c r="A114" s="333" t="s">
        <v>151</v>
      </c>
      <c r="B114" s="333"/>
      <c r="C114" s="196"/>
      <c r="D114" s="394"/>
      <c r="E114" s="197"/>
      <c r="F114" s="198"/>
      <c r="G114" s="201"/>
      <c r="H114" s="199">
        <f>SUM(H111:H113)</f>
        <v>180</v>
      </c>
      <c r="I114" s="199">
        <f t="shared" ref="I114:X114" si="64">SUM(I111:I113)</f>
        <v>669938.48</v>
      </c>
      <c r="J114" s="199">
        <f t="shared" si="64"/>
        <v>739412.02</v>
      </c>
      <c r="K114" s="199">
        <f t="shared" si="64"/>
        <v>-69473.540000000008</v>
      </c>
      <c r="L114" s="199">
        <f t="shared" si="64"/>
        <v>147882.40400000001</v>
      </c>
      <c r="M114" s="199">
        <f t="shared" si="64"/>
        <v>0</v>
      </c>
      <c r="N114" s="199">
        <f t="shared" si="64"/>
        <v>0</v>
      </c>
      <c r="O114" s="199">
        <f t="shared" si="64"/>
        <v>0</v>
      </c>
      <c r="P114" s="199">
        <f t="shared" si="64"/>
        <v>0</v>
      </c>
      <c r="Q114" s="199">
        <f t="shared" si="64"/>
        <v>0</v>
      </c>
      <c r="R114" s="199">
        <f t="shared" si="64"/>
        <v>0</v>
      </c>
      <c r="S114" s="199">
        <f t="shared" si="64"/>
        <v>0</v>
      </c>
      <c r="T114" s="199">
        <f t="shared" si="64"/>
        <v>0</v>
      </c>
      <c r="U114" s="199">
        <f t="shared" si="64"/>
        <v>0</v>
      </c>
      <c r="V114" s="199">
        <f t="shared" si="64"/>
        <v>147882.40400000001</v>
      </c>
      <c r="W114" s="199">
        <f t="shared" si="64"/>
        <v>522056.076</v>
      </c>
      <c r="X114" s="330">
        <f t="shared" si="64"/>
        <v>-591529.61600000004</v>
      </c>
    </row>
    <row r="115" spans="1:24" x14ac:dyDescent="0.3">
      <c r="A115" s="327" t="s">
        <v>150</v>
      </c>
      <c r="B115" s="51" t="s">
        <v>167</v>
      </c>
      <c r="C115" s="47" t="s">
        <v>163</v>
      </c>
      <c r="D115" s="6">
        <v>16879</v>
      </c>
      <c r="E115" s="6">
        <v>17</v>
      </c>
      <c r="F115" s="16" t="s">
        <v>45</v>
      </c>
      <c r="G115" s="16" t="s">
        <v>91</v>
      </c>
      <c r="H115" s="23">
        <v>600</v>
      </c>
      <c r="I115" s="46">
        <v>3446792.1987980008</v>
      </c>
      <c r="J115" s="105">
        <v>3102360.26</v>
      </c>
      <c r="K115" s="81">
        <f t="shared" ref="K115" si="65">I115-J115</f>
        <v>344431.93879800104</v>
      </c>
      <c r="L115" s="81">
        <f>J115*20%</f>
        <v>620472.05200000003</v>
      </c>
      <c r="M115" s="81"/>
      <c r="N115" s="81"/>
      <c r="O115" s="81"/>
      <c r="P115" s="81"/>
      <c r="Q115" s="81"/>
      <c r="R115" s="81"/>
      <c r="S115" s="81"/>
      <c r="T115" s="81"/>
      <c r="U115" s="79">
        <f t="shared" si="62"/>
        <v>0</v>
      </c>
      <c r="V115" s="80">
        <f t="shared" si="63"/>
        <v>620472.05200000003</v>
      </c>
      <c r="W115" s="94">
        <f>I115-V115</f>
        <v>2826320.1467980007</v>
      </c>
      <c r="X115" s="328">
        <f t="shared" si="61"/>
        <v>-2481888.2079999996</v>
      </c>
    </row>
    <row r="116" spans="1:24" s="194" customFormat="1" ht="16.2" thickBot="1" x14ac:dyDescent="0.35">
      <c r="A116" s="333" t="s">
        <v>152</v>
      </c>
      <c r="B116" s="402"/>
      <c r="C116" s="355"/>
      <c r="D116" s="355"/>
      <c r="E116" s="355"/>
      <c r="F116" s="355"/>
      <c r="G116" s="355"/>
      <c r="H116" s="356">
        <f>SUM(H115)</f>
        <v>600</v>
      </c>
      <c r="I116" s="356">
        <f t="shared" ref="I116:X116" si="66">SUM(I115)</f>
        <v>3446792.1987980008</v>
      </c>
      <c r="J116" s="356">
        <f t="shared" si="66"/>
        <v>3102360.26</v>
      </c>
      <c r="K116" s="356">
        <f t="shared" si="66"/>
        <v>344431.93879800104</v>
      </c>
      <c r="L116" s="356">
        <f t="shared" si="66"/>
        <v>620472.05200000003</v>
      </c>
      <c r="M116" s="356">
        <f t="shared" si="66"/>
        <v>0</v>
      </c>
      <c r="N116" s="356">
        <f t="shared" si="66"/>
        <v>0</v>
      </c>
      <c r="O116" s="356">
        <f t="shared" si="66"/>
        <v>0</v>
      </c>
      <c r="P116" s="356">
        <f t="shared" si="66"/>
        <v>0</v>
      </c>
      <c r="Q116" s="356">
        <f t="shared" si="66"/>
        <v>0</v>
      </c>
      <c r="R116" s="356">
        <f t="shared" si="66"/>
        <v>0</v>
      </c>
      <c r="S116" s="356">
        <f t="shared" si="66"/>
        <v>0</v>
      </c>
      <c r="T116" s="356">
        <f t="shared" si="66"/>
        <v>0</v>
      </c>
      <c r="U116" s="356">
        <f t="shared" si="66"/>
        <v>0</v>
      </c>
      <c r="V116" s="356">
        <f t="shared" si="66"/>
        <v>620472.05200000003</v>
      </c>
      <c r="W116" s="356">
        <f t="shared" si="66"/>
        <v>2826320.1467980007</v>
      </c>
      <c r="X116" s="357">
        <f t="shared" si="66"/>
        <v>-2481888.2079999996</v>
      </c>
    </row>
    <row r="117" spans="1:24" s="194" customFormat="1" ht="16.2" thickBot="1" x14ac:dyDescent="0.35">
      <c r="A117" s="333" t="s">
        <v>148</v>
      </c>
      <c r="B117" s="333"/>
      <c r="C117" s="358"/>
      <c r="D117" s="392"/>
      <c r="E117" s="338"/>
      <c r="F117" s="359"/>
      <c r="G117" s="340"/>
      <c r="H117" s="340">
        <f t="shared" ref="H117:X117" si="67">H114+H116</f>
        <v>780</v>
      </c>
      <c r="I117" s="340">
        <f t="shared" si="67"/>
        <v>4116730.6787980008</v>
      </c>
      <c r="J117" s="340">
        <f t="shared" si="67"/>
        <v>3841772.28</v>
      </c>
      <c r="K117" s="340">
        <f t="shared" si="67"/>
        <v>274958.398798001</v>
      </c>
      <c r="L117" s="340">
        <f t="shared" si="67"/>
        <v>768354.45600000001</v>
      </c>
      <c r="M117" s="340">
        <f t="shared" si="67"/>
        <v>0</v>
      </c>
      <c r="N117" s="340">
        <f t="shared" si="67"/>
        <v>0</v>
      </c>
      <c r="O117" s="340">
        <f t="shared" si="67"/>
        <v>0</v>
      </c>
      <c r="P117" s="340">
        <f t="shared" si="67"/>
        <v>0</v>
      </c>
      <c r="Q117" s="340">
        <f t="shared" si="67"/>
        <v>0</v>
      </c>
      <c r="R117" s="340">
        <f t="shared" si="67"/>
        <v>0</v>
      </c>
      <c r="S117" s="340">
        <f t="shared" si="67"/>
        <v>0</v>
      </c>
      <c r="T117" s="340">
        <f t="shared" si="67"/>
        <v>0</v>
      </c>
      <c r="U117" s="340">
        <f t="shared" si="67"/>
        <v>0</v>
      </c>
      <c r="V117" s="340">
        <f t="shared" si="67"/>
        <v>768354.45600000001</v>
      </c>
      <c r="W117" s="340">
        <f t="shared" si="67"/>
        <v>3348376.2227980006</v>
      </c>
      <c r="X117" s="341">
        <f t="shared" si="67"/>
        <v>-3073417.8239999996</v>
      </c>
    </row>
    <row r="118" spans="1:24" ht="31.8" thickBot="1" x14ac:dyDescent="0.35">
      <c r="A118" s="327" t="s">
        <v>148</v>
      </c>
      <c r="B118" s="327" t="s">
        <v>168</v>
      </c>
      <c r="C118" s="61" t="s">
        <v>164</v>
      </c>
      <c r="D118" s="389" t="s">
        <v>169</v>
      </c>
      <c r="E118" s="53" t="s">
        <v>178</v>
      </c>
      <c r="F118" s="407" t="s">
        <v>92</v>
      </c>
      <c r="G118" s="407"/>
      <c r="H118" s="54" t="s">
        <v>4</v>
      </c>
      <c r="I118" s="54" t="s">
        <v>5</v>
      </c>
      <c r="J118" s="103" t="s">
        <v>131</v>
      </c>
      <c r="K118" s="54" t="s">
        <v>145</v>
      </c>
      <c r="L118" s="55">
        <v>0.2</v>
      </c>
      <c r="M118" s="54" t="s">
        <v>132</v>
      </c>
      <c r="N118" s="54" t="s">
        <v>133</v>
      </c>
      <c r="O118" s="54" t="s">
        <v>134</v>
      </c>
      <c r="P118" s="54" t="s">
        <v>135</v>
      </c>
      <c r="Q118" s="54" t="s">
        <v>136</v>
      </c>
      <c r="R118" s="54" t="s">
        <v>137</v>
      </c>
      <c r="S118" s="54" t="s">
        <v>138</v>
      </c>
      <c r="T118" s="54" t="s">
        <v>139</v>
      </c>
      <c r="U118" s="53" t="s">
        <v>140</v>
      </c>
      <c r="V118" s="54" t="s">
        <v>144</v>
      </c>
      <c r="W118" s="56" t="s">
        <v>141</v>
      </c>
      <c r="X118" s="269" t="s">
        <v>160</v>
      </c>
    </row>
    <row r="119" spans="1:24" x14ac:dyDescent="0.3">
      <c r="A119" s="327" t="s">
        <v>149</v>
      </c>
      <c r="B119" s="51" t="s">
        <v>166</v>
      </c>
      <c r="C119" s="51" t="s">
        <v>162</v>
      </c>
      <c r="D119" s="383"/>
      <c r="E119" s="19">
        <v>42</v>
      </c>
      <c r="F119" s="8" t="s">
        <v>16</v>
      </c>
      <c r="G119" s="354" t="s">
        <v>93</v>
      </c>
      <c r="H119" s="33">
        <v>108</v>
      </c>
      <c r="I119" s="206">
        <v>507529.15</v>
      </c>
      <c r="J119" s="104">
        <v>452375.51</v>
      </c>
      <c r="K119" s="82">
        <f t="shared" ref="K119" si="68">I119-J119</f>
        <v>55153.640000000014</v>
      </c>
      <c r="L119" s="82">
        <f>J119*20%</f>
        <v>90475.102000000014</v>
      </c>
      <c r="M119" s="82"/>
      <c r="N119" s="82"/>
      <c r="O119" s="82"/>
      <c r="P119" s="82"/>
      <c r="Q119" s="82"/>
      <c r="R119" s="82"/>
      <c r="S119" s="82"/>
      <c r="T119" s="82"/>
      <c r="U119" s="84">
        <f t="shared" si="62"/>
        <v>0</v>
      </c>
      <c r="V119" s="85">
        <f t="shared" si="63"/>
        <v>90475.102000000014</v>
      </c>
      <c r="W119" s="86">
        <f>I119-V119</f>
        <v>417054.04800000001</v>
      </c>
      <c r="X119" s="328">
        <f>K119-W119</f>
        <v>-361900.408</v>
      </c>
    </row>
    <row r="120" spans="1:24" s="194" customFormat="1" ht="16.2" thickBot="1" x14ac:dyDescent="0.35">
      <c r="A120" s="333" t="s">
        <v>151</v>
      </c>
      <c r="B120" s="333"/>
      <c r="C120" s="195"/>
      <c r="D120" s="396"/>
      <c r="E120" s="192"/>
      <c r="F120" s="193"/>
      <c r="G120" s="73"/>
      <c r="H120" s="73">
        <f>SUM(H119)</f>
        <v>108</v>
      </c>
      <c r="I120" s="73">
        <f t="shared" ref="I120:X120" si="69">SUM(I119)</f>
        <v>507529.15</v>
      </c>
      <c r="J120" s="73">
        <f t="shared" si="69"/>
        <v>452375.51</v>
      </c>
      <c r="K120" s="73">
        <f t="shared" si="69"/>
        <v>55153.640000000014</v>
      </c>
      <c r="L120" s="73">
        <f t="shared" si="69"/>
        <v>90475.102000000014</v>
      </c>
      <c r="M120" s="73">
        <f t="shared" si="69"/>
        <v>0</v>
      </c>
      <c r="N120" s="73">
        <f t="shared" si="69"/>
        <v>0</v>
      </c>
      <c r="O120" s="73">
        <f t="shared" si="69"/>
        <v>0</v>
      </c>
      <c r="P120" s="73">
        <f t="shared" si="69"/>
        <v>0</v>
      </c>
      <c r="Q120" s="73">
        <f t="shared" si="69"/>
        <v>0</v>
      </c>
      <c r="R120" s="73">
        <f t="shared" si="69"/>
        <v>0</v>
      </c>
      <c r="S120" s="73">
        <f t="shared" si="69"/>
        <v>0</v>
      </c>
      <c r="T120" s="73">
        <f t="shared" si="69"/>
        <v>0</v>
      </c>
      <c r="U120" s="73">
        <f t="shared" si="69"/>
        <v>0</v>
      </c>
      <c r="V120" s="73">
        <f t="shared" si="69"/>
        <v>90475.102000000014</v>
      </c>
      <c r="W120" s="73">
        <f t="shared" si="69"/>
        <v>417054.04800000001</v>
      </c>
      <c r="X120" s="331">
        <f t="shared" si="69"/>
        <v>-361900.408</v>
      </c>
    </row>
    <row r="121" spans="1:24" ht="31.8" thickBot="1" x14ac:dyDescent="0.35">
      <c r="A121" s="327" t="s">
        <v>148</v>
      </c>
      <c r="B121" s="327" t="s">
        <v>168</v>
      </c>
      <c r="C121" s="211" t="s">
        <v>164</v>
      </c>
      <c r="D121" s="211" t="s">
        <v>169</v>
      </c>
      <c r="E121" s="353" t="s">
        <v>179</v>
      </c>
      <c r="F121" s="407" t="s">
        <v>94</v>
      </c>
      <c r="G121" s="407"/>
      <c r="H121" s="54" t="s">
        <v>4</v>
      </c>
      <c r="I121" s="54" t="s">
        <v>5</v>
      </c>
      <c r="J121" s="103" t="s">
        <v>131</v>
      </c>
      <c r="K121" s="54" t="s">
        <v>145</v>
      </c>
      <c r="L121" s="55">
        <v>0.2</v>
      </c>
      <c r="M121" s="54" t="s">
        <v>132</v>
      </c>
      <c r="N121" s="54" t="s">
        <v>133</v>
      </c>
      <c r="O121" s="54" t="s">
        <v>134</v>
      </c>
      <c r="P121" s="54" t="s">
        <v>135</v>
      </c>
      <c r="Q121" s="54" t="s">
        <v>136</v>
      </c>
      <c r="R121" s="54" t="s">
        <v>137</v>
      </c>
      <c r="S121" s="54" t="s">
        <v>138</v>
      </c>
      <c r="T121" s="54" t="s">
        <v>139</v>
      </c>
      <c r="U121" s="53" t="s">
        <v>140</v>
      </c>
      <c r="V121" s="54" t="s">
        <v>144</v>
      </c>
      <c r="W121" s="56" t="s">
        <v>141</v>
      </c>
      <c r="X121" s="269" t="s">
        <v>160</v>
      </c>
    </row>
    <row r="122" spans="1:24" ht="16.2" thickBot="1" x14ac:dyDescent="0.35">
      <c r="A122" s="327" t="s">
        <v>150</v>
      </c>
      <c r="B122" s="51" t="s">
        <v>167</v>
      </c>
      <c r="C122" s="57" t="s">
        <v>163</v>
      </c>
      <c r="D122" s="6">
        <v>16879</v>
      </c>
      <c r="E122" s="343">
        <v>18</v>
      </c>
      <c r="F122" s="344" t="s">
        <v>45</v>
      </c>
      <c r="G122" s="344" t="s">
        <v>95</v>
      </c>
      <c r="H122" s="345">
        <v>600</v>
      </c>
      <c r="I122" s="352">
        <v>3446792.1987980008</v>
      </c>
      <c r="J122" s="347">
        <v>3102360.26</v>
      </c>
      <c r="K122" s="348">
        <f t="shared" ref="K122" si="70">I122-J122</f>
        <v>344431.93879800104</v>
      </c>
      <c r="L122" s="348">
        <f>J122*20%</f>
        <v>620472.05200000003</v>
      </c>
      <c r="M122" s="348"/>
      <c r="N122" s="348"/>
      <c r="O122" s="348"/>
      <c r="P122" s="348"/>
      <c r="Q122" s="348"/>
      <c r="R122" s="348"/>
      <c r="S122" s="348"/>
      <c r="T122" s="348"/>
      <c r="U122" s="349">
        <f t="shared" si="62"/>
        <v>0</v>
      </c>
      <c r="V122" s="349">
        <f t="shared" si="63"/>
        <v>620472.05200000003</v>
      </c>
      <c r="W122" s="351">
        <f>I122-V122</f>
        <v>2826320.1467980007</v>
      </c>
      <c r="X122" s="328">
        <f t="shared" ref="X122" si="71">K122-W122</f>
        <v>-2481888.2079999996</v>
      </c>
    </row>
    <row r="123" spans="1:24" s="202" customFormat="1" ht="16.2" thickBot="1" x14ac:dyDescent="0.35">
      <c r="A123" s="334" t="s">
        <v>152</v>
      </c>
      <c r="B123" s="334"/>
      <c r="C123" s="337"/>
      <c r="D123" s="397"/>
      <c r="E123" s="338"/>
      <c r="F123" s="339"/>
      <c r="G123" s="339"/>
      <c r="H123" s="340">
        <f>SUM(H122)</f>
        <v>600</v>
      </c>
      <c r="I123" s="340">
        <f t="shared" ref="I123:X123" si="72">SUM(I122)</f>
        <v>3446792.1987980008</v>
      </c>
      <c r="J123" s="340">
        <f t="shared" si="72"/>
        <v>3102360.26</v>
      </c>
      <c r="K123" s="340">
        <f t="shared" si="72"/>
        <v>344431.93879800104</v>
      </c>
      <c r="L123" s="340">
        <f t="shared" si="72"/>
        <v>620472.05200000003</v>
      </c>
      <c r="M123" s="340">
        <f t="shared" si="72"/>
        <v>0</v>
      </c>
      <c r="N123" s="340">
        <f t="shared" si="72"/>
        <v>0</v>
      </c>
      <c r="O123" s="340">
        <f t="shared" si="72"/>
        <v>0</v>
      </c>
      <c r="P123" s="340">
        <f t="shared" si="72"/>
        <v>0</v>
      </c>
      <c r="Q123" s="340">
        <f t="shared" si="72"/>
        <v>0</v>
      </c>
      <c r="R123" s="340">
        <f t="shared" si="72"/>
        <v>0</v>
      </c>
      <c r="S123" s="340">
        <f t="shared" si="72"/>
        <v>0</v>
      </c>
      <c r="T123" s="340">
        <f t="shared" si="72"/>
        <v>0</v>
      </c>
      <c r="U123" s="340">
        <f t="shared" si="72"/>
        <v>0</v>
      </c>
      <c r="V123" s="340">
        <f t="shared" si="72"/>
        <v>620472.05200000003</v>
      </c>
      <c r="W123" s="340">
        <f t="shared" si="72"/>
        <v>2826320.1467980007</v>
      </c>
      <c r="X123" s="341">
        <f t="shared" si="72"/>
        <v>-2481888.2079999996</v>
      </c>
    </row>
    <row r="124" spans="1:24" ht="31.8" thickBot="1" x14ac:dyDescent="0.35">
      <c r="A124" s="327" t="s">
        <v>148</v>
      </c>
      <c r="B124" s="327" t="s">
        <v>168</v>
      </c>
      <c r="C124" s="61" t="s">
        <v>164</v>
      </c>
      <c r="D124" s="389" t="s">
        <v>169</v>
      </c>
      <c r="E124" s="53" t="s">
        <v>180</v>
      </c>
      <c r="F124" s="408" t="s">
        <v>96</v>
      </c>
      <c r="G124" s="408"/>
      <c r="H124" s="54" t="s">
        <v>4</v>
      </c>
      <c r="I124" s="54" t="s">
        <v>5</v>
      </c>
      <c r="J124" s="103" t="s">
        <v>131</v>
      </c>
      <c r="K124" s="54" t="s">
        <v>145</v>
      </c>
      <c r="L124" s="55">
        <v>0.2</v>
      </c>
      <c r="M124" s="54" t="s">
        <v>132</v>
      </c>
      <c r="N124" s="54" t="s">
        <v>133</v>
      </c>
      <c r="O124" s="54" t="s">
        <v>134</v>
      </c>
      <c r="P124" s="54" t="s">
        <v>135</v>
      </c>
      <c r="Q124" s="54" t="s">
        <v>136</v>
      </c>
      <c r="R124" s="54" t="s">
        <v>137</v>
      </c>
      <c r="S124" s="54" t="s">
        <v>138</v>
      </c>
      <c r="T124" s="54" t="s">
        <v>139</v>
      </c>
      <c r="U124" s="53" t="s">
        <v>140</v>
      </c>
      <c r="V124" s="54" t="s">
        <v>144</v>
      </c>
      <c r="W124" s="56" t="s">
        <v>141</v>
      </c>
      <c r="X124" s="269" t="s">
        <v>160</v>
      </c>
    </row>
    <row r="125" spans="1:24" ht="16.2" thickBot="1" x14ac:dyDescent="0.35">
      <c r="A125" s="327" t="s">
        <v>150</v>
      </c>
      <c r="B125" s="51" t="s">
        <v>167</v>
      </c>
      <c r="C125" s="342" t="s">
        <v>163</v>
      </c>
      <c r="D125" s="6">
        <v>16879</v>
      </c>
      <c r="E125" s="343">
        <v>19</v>
      </c>
      <c r="F125" s="344" t="s">
        <v>45</v>
      </c>
      <c r="G125" s="344" t="s">
        <v>97</v>
      </c>
      <c r="H125" s="345">
        <v>600</v>
      </c>
      <c r="I125" s="346">
        <v>3419652.1987980008</v>
      </c>
      <c r="J125" s="347">
        <v>3077688.26</v>
      </c>
      <c r="K125" s="348">
        <f t="shared" ref="K125" si="73">I125-J125</f>
        <v>341963.93879800104</v>
      </c>
      <c r="L125" s="348">
        <f>J125*20%</f>
        <v>615537.652</v>
      </c>
      <c r="M125" s="348">
        <v>0</v>
      </c>
      <c r="N125" s="348"/>
      <c r="O125" s="348"/>
      <c r="P125" s="348"/>
      <c r="Q125" s="348"/>
      <c r="R125" s="348"/>
      <c r="S125" s="348"/>
      <c r="T125" s="348"/>
      <c r="U125" s="349">
        <f>SUM(M125:T125)</f>
        <v>0</v>
      </c>
      <c r="V125" s="350">
        <f t="shared" si="63"/>
        <v>615537.652</v>
      </c>
      <c r="W125" s="351">
        <f>I125-V125</f>
        <v>2804114.546798001</v>
      </c>
      <c r="X125" s="328">
        <f t="shared" ref="X125" si="74">K125-W125</f>
        <v>-2462150.608</v>
      </c>
    </row>
    <row r="126" spans="1:24" s="202" customFormat="1" ht="16.2" thickBot="1" x14ac:dyDescent="0.35">
      <c r="A126" s="335" t="s">
        <v>152</v>
      </c>
      <c r="B126" s="335"/>
      <c r="C126" s="337"/>
      <c r="D126" s="397"/>
      <c r="E126" s="338"/>
      <c r="F126" s="339"/>
      <c r="G126" s="339"/>
      <c r="H126" s="340">
        <f>SUM(H125)</f>
        <v>600</v>
      </c>
      <c r="I126" s="340">
        <f t="shared" ref="I126:X126" si="75">SUM(I125)</f>
        <v>3419652.1987980008</v>
      </c>
      <c r="J126" s="340">
        <f t="shared" si="75"/>
        <v>3077688.26</v>
      </c>
      <c r="K126" s="340">
        <f t="shared" si="75"/>
        <v>341963.93879800104</v>
      </c>
      <c r="L126" s="340">
        <f t="shared" si="75"/>
        <v>615537.652</v>
      </c>
      <c r="M126" s="340">
        <f t="shared" si="75"/>
        <v>0</v>
      </c>
      <c r="N126" s="340">
        <f t="shared" si="75"/>
        <v>0</v>
      </c>
      <c r="O126" s="340">
        <f t="shared" si="75"/>
        <v>0</v>
      </c>
      <c r="P126" s="340">
        <f t="shared" si="75"/>
        <v>0</v>
      </c>
      <c r="Q126" s="340">
        <f t="shared" si="75"/>
        <v>0</v>
      </c>
      <c r="R126" s="340">
        <f t="shared" si="75"/>
        <v>0</v>
      </c>
      <c r="S126" s="340">
        <f t="shared" si="75"/>
        <v>0</v>
      </c>
      <c r="T126" s="340">
        <f t="shared" si="75"/>
        <v>0</v>
      </c>
      <c r="U126" s="340">
        <f t="shared" si="75"/>
        <v>0</v>
      </c>
      <c r="V126" s="340">
        <f t="shared" si="75"/>
        <v>615537.652</v>
      </c>
      <c r="W126" s="340">
        <f t="shared" si="75"/>
        <v>2804114.546798001</v>
      </c>
      <c r="X126" s="341">
        <f t="shared" si="75"/>
        <v>-2462150.608</v>
      </c>
    </row>
    <row r="127" spans="1:24" x14ac:dyDescent="0.3">
      <c r="E127" s="4"/>
      <c r="F127" s="30"/>
      <c r="G127" s="30"/>
      <c r="H127" s="76"/>
      <c r="J127" s="108"/>
      <c r="K127" s="75"/>
      <c r="L127" s="75"/>
    </row>
    <row r="128" spans="1:24" x14ac:dyDescent="0.3">
      <c r="E128" s="4"/>
      <c r="F128" s="30" t="s">
        <v>153</v>
      </c>
      <c r="G128" s="30"/>
      <c r="H128" s="76"/>
      <c r="J128" s="203">
        <v>27706555.93</v>
      </c>
      <c r="K128" s="75"/>
      <c r="L128" s="75"/>
    </row>
    <row r="129" spans="1:24" x14ac:dyDescent="0.3">
      <c r="E129" s="4"/>
      <c r="F129" s="30" t="s">
        <v>154</v>
      </c>
      <c r="G129" s="30"/>
      <c r="H129" s="76"/>
      <c r="J129" s="108" t="e">
        <f>#REF!-J128</f>
        <v>#REF!</v>
      </c>
      <c r="K129" s="75"/>
      <c r="L129" s="75"/>
    </row>
    <row r="130" spans="1:24" x14ac:dyDescent="0.3">
      <c r="E130" s="4"/>
      <c r="F130" s="30" t="s">
        <v>163</v>
      </c>
      <c r="G130" s="30"/>
      <c r="H130" s="76"/>
      <c r="J130" s="108">
        <f>J55+J69+J101+J108+J116+J123+J126</f>
        <v>55838048.909999989</v>
      </c>
      <c r="K130" s="75"/>
      <c r="L130" s="75"/>
    </row>
    <row r="131" spans="1:24" x14ac:dyDescent="0.3">
      <c r="F131" s="30" t="s">
        <v>153</v>
      </c>
      <c r="H131" s="76"/>
      <c r="I131" s="93"/>
      <c r="J131" s="204">
        <v>55838049.890000001</v>
      </c>
      <c r="K131" s="75"/>
      <c r="L131" s="75"/>
      <c r="M131" s="75"/>
    </row>
    <row r="132" spans="1:24" x14ac:dyDescent="0.3">
      <c r="F132" s="30" t="s">
        <v>163</v>
      </c>
      <c r="G132" s="32"/>
      <c r="H132" s="32"/>
      <c r="I132" s="93"/>
      <c r="J132" s="108">
        <f>J130-J131</f>
        <v>-0.98000001162290573</v>
      </c>
      <c r="K132" s="75"/>
      <c r="L132" s="75"/>
      <c r="M132" s="75"/>
    </row>
    <row r="133" spans="1:24" x14ac:dyDescent="0.3">
      <c r="G133" s="32"/>
      <c r="H133" s="32"/>
      <c r="I133" s="93"/>
      <c r="J133" s="108"/>
      <c r="K133" s="75"/>
      <c r="L133" s="75"/>
      <c r="M133" s="75"/>
      <c r="O133" s="205"/>
    </row>
    <row r="134" spans="1:24" x14ac:dyDescent="0.3">
      <c r="C134" s="412" t="s">
        <v>0</v>
      </c>
      <c r="D134" s="412"/>
      <c r="E134" s="412"/>
      <c r="F134" s="412"/>
      <c r="G134" s="412"/>
      <c r="H134" s="412"/>
      <c r="I134" s="412"/>
      <c r="J134" s="412"/>
      <c r="K134" s="412"/>
      <c r="L134" s="412"/>
      <c r="M134" s="412"/>
      <c r="N134" s="412"/>
      <c r="O134" s="412"/>
      <c r="P134" s="412"/>
      <c r="Q134" s="412"/>
      <c r="R134" s="412"/>
      <c r="S134" s="412"/>
      <c r="T134" s="412"/>
      <c r="U134" s="412"/>
      <c r="V134" s="412"/>
      <c r="W134" s="412"/>
    </row>
    <row r="135" spans="1:24" x14ac:dyDescent="0.3">
      <c r="C135" s="413" t="s">
        <v>98</v>
      </c>
      <c r="D135" s="413"/>
      <c r="E135" s="413"/>
      <c r="F135" s="413"/>
      <c r="G135" s="413"/>
      <c r="H135" s="413"/>
      <c r="I135" s="413"/>
      <c r="J135" s="413"/>
      <c r="K135" s="413"/>
      <c r="L135" s="413"/>
      <c r="M135" s="413"/>
      <c r="N135" s="413"/>
      <c r="O135" s="413"/>
      <c r="P135" s="413"/>
      <c r="Q135" s="413"/>
      <c r="R135" s="413"/>
      <c r="S135" s="413"/>
      <c r="T135" s="413"/>
      <c r="U135" s="413"/>
      <c r="V135" s="413"/>
      <c r="W135" s="413"/>
    </row>
    <row r="136" spans="1:24" x14ac:dyDescent="0.3">
      <c r="C136" s="414" t="s">
        <v>129</v>
      </c>
      <c r="D136" s="414"/>
      <c r="E136" s="414"/>
      <c r="F136" s="414"/>
      <c r="G136" s="414"/>
      <c r="H136" s="414"/>
      <c r="I136" s="414"/>
      <c r="J136" s="414"/>
      <c r="K136" s="414"/>
      <c r="L136" s="414"/>
      <c r="M136" s="414"/>
      <c r="N136" s="414"/>
      <c r="O136" s="414"/>
      <c r="P136" s="414"/>
      <c r="Q136" s="414"/>
      <c r="R136" s="414"/>
      <c r="S136" s="414"/>
      <c r="T136" s="414"/>
      <c r="U136" s="414"/>
      <c r="V136" s="414"/>
      <c r="W136" s="414"/>
    </row>
    <row r="137" spans="1:24" ht="16.2" thickBot="1" x14ac:dyDescent="0.35">
      <c r="C137" s="66"/>
      <c r="D137" s="66"/>
      <c r="E137" s="66"/>
      <c r="F137" s="66"/>
      <c r="G137" s="66"/>
      <c r="H137" s="66"/>
      <c r="I137" s="66"/>
      <c r="J137" s="109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 spans="1:24" ht="31.8" thickBot="1" x14ac:dyDescent="0.35">
      <c r="A138" s="270"/>
      <c r="B138" s="403" t="s">
        <v>168</v>
      </c>
      <c r="C138" s="271" t="s">
        <v>164</v>
      </c>
      <c r="D138" s="271" t="s">
        <v>169</v>
      </c>
      <c r="E138" s="53" t="s">
        <v>1</v>
      </c>
      <c r="F138" s="53" t="s">
        <v>2</v>
      </c>
      <c r="G138" s="53" t="s">
        <v>3</v>
      </c>
      <c r="H138" s="54" t="s">
        <v>4</v>
      </c>
      <c r="I138" s="54" t="s">
        <v>5</v>
      </c>
      <c r="J138" s="103" t="s">
        <v>131</v>
      </c>
      <c r="K138" s="54" t="s">
        <v>145</v>
      </c>
      <c r="L138" s="55">
        <v>0.2</v>
      </c>
      <c r="M138" s="54" t="s">
        <v>132</v>
      </c>
      <c r="N138" s="54" t="s">
        <v>133</v>
      </c>
      <c r="O138" s="54" t="s">
        <v>134</v>
      </c>
      <c r="P138" s="54" t="s">
        <v>135</v>
      </c>
      <c r="Q138" s="54" t="s">
        <v>136</v>
      </c>
      <c r="R138" s="54" t="s">
        <v>137</v>
      </c>
      <c r="S138" s="54" t="s">
        <v>138</v>
      </c>
      <c r="T138" s="54" t="s">
        <v>139</v>
      </c>
      <c r="U138" s="53" t="s">
        <v>140</v>
      </c>
      <c r="V138" s="54" t="s">
        <v>144</v>
      </c>
      <c r="W138" s="54" t="s">
        <v>141</v>
      </c>
      <c r="X138" s="269" t="s">
        <v>160</v>
      </c>
    </row>
    <row r="139" spans="1:24" ht="63" thickBot="1" x14ac:dyDescent="0.35">
      <c r="A139" s="294"/>
      <c r="B139" s="51" t="s">
        <v>170</v>
      </c>
      <c r="C139" s="95" t="s">
        <v>162</v>
      </c>
      <c r="D139" s="95">
        <v>16340</v>
      </c>
      <c r="E139" s="210">
        <v>1</v>
      </c>
      <c r="F139" s="295" t="s">
        <v>99</v>
      </c>
      <c r="G139" s="295" t="s">
        <v>100</v>
      </c>
      <c r="H139" s="296">
        <v>36795</v>
      </c>
      <c r="I139" s="297">
        <v>37331677.700000003</v>
      </c>
      <c r="J139" s="64">
        <v>34401994.729999997</v>
      </c>
      <c r="K139" s="64">
        <f>I139-J139</f>
        <v>2929682.9700000063</v>
      </c>
      <c r="L139" s="64">
        <f>J139*20%</f>
        <v>6880398.9459999995</v>
      </c>
      <c r="M139" s="64">
        <v>5058423.3</v>
      </c>
      <c r="N139" s="64">
        <v>11634599.060000001</v>
      </c>
      <c r="O139" s="64">
        <v>3493695.05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5">
        <f>SUM(M139:T139)</f>
        <v>20186717.41</v>
      </c>
      <c r="V139" s="65">
        <f>L139+U139</f>
        <v>27067116.355999999</v>
      </c>
      <c r="W139" s="64">
        <f>J139-V139</f>
        <v>7334878.373999998</v>
      </c>
      <c r="X139" s="298">
        <f>W139+K139</f>
        <v>10264561.344000004</v>
      </c>
    </row>
    <row r="140" spans="1:24" x14ac:dyDescent="0.3">
      <c r="E140" s="32"/>
      <c r="F140" s="157"/>
      <c r="G140" s="158"/>
      <c r="H140" s="159"/>
      <c r="I140" s="93"/>
      <c r="J140" s="161">
        <f>I139-J139</f>
        <v>2929682.9700000063</v>
      </c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2"/>
      <c r="V140" s="162"/>
      <c r="W140" s="161"/>
    </row>
    <row r="141" spans="1:24" ht="16.2" thickBot="1" x14ac:dyDescent="0.35">
      <c r="E141" s="178"/>
      <c r="F141" s="157"/>
      <c r="G141" s="158"/>
      <c r="H141" s="261"/>
      <c r="I141" s="277"/>
      <c r="J141" s="278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</row>
    <row r="142" spans="1:24" ht="47.4" thickBot="1" x14ac:dyDescent="0.35">
      <c r="C142" s="59"/>
      <c r="D142" s="59"/>
      <c r="E142" s="376">
        <v>2</v>
      </c>
      <c r="F142" s="377" t="s">
        <v>101</v>
      </c>
      <c r="G142" s="295" t="s">
        <v>102</v>
      </c>
      <c r="H142" s="379">
        <v>5511</v>
      </c>
      <c r="I142" s="378">
        <v>26403621.68</v>
      </c>
      <c r="J142" s="160"/>
      <c r="K142" s="161"/>
      <c r="L142" s="75"/>
      <c r="M142" s="75"/>
    </row>
    <row r="143" spans="1:24" ht="16.2" thickBot="1" x14ac:dyDescent="0.35">
      <c r="C143" s="59"/>
      <c r="D143" s="59"/>
      <c r="E143" s="32"/>
      <c r="F143" s="157"/>
      <c r="G143" s="158"/>
      <c r="H143" s="259"/>
      <c r="I143" s="93"/>
      <c r="J143" s="160"/>
      <c r="K143" s="161"/>
      <c r="L143" s="75"/>
      <c r="M143" s="75"/>
    </row>
    <row r="144" spans="1:24" ht="31.8" thickBot="1" x14ac:dyDescent="0.35">
      <c r="A144" s="270"/>
      <c r="B144" s="403" t="s">
        <v>168</v>
      </c>
      <c r="C144" s="276" t="s">
        <v>164</v>
      </c>
      <c r="D144" s="276" t="s">
        <v>169</v>
      </c>
      <c r="E144" s="53"/>
      <c r="F144" s="53" t="s">
        <v>2</v>
      </c>
      <c r="G144" s="53" t="s">
        <v>3</v>
      </c>
      <c r="H144" s="54" t="s">
        <v>4</v>
      </c>
      <c r="I144" s="54" t="s">
        <v>5</v>
      </c>
      <c r="J144" s="103" t="s">
        <v>131</v>
      </c>
      <c r="K144" s="54" t="s">
        <v>145</v>
      </c>
      <c r="L144" s="55">
        <v>0.2</v>
      </c>
      <c r="M144" s="54" t="s">
        <v>132</v>
      </c>
      <c r="N144" s="54" t="s">
        <v>133</v>
      </c>
      <c r="O144" s="56" t="s">
        <v>134</v>
      </c>
      <c r="P144" s="280" t="s">
        <v>135</v>
      </c>
      <c r="Q144" s="165" t="s">
        <v>136</v>
      </c>
      <c r="R144" s="165" t="s">
        <v>137</v>
      </c>
      <c r="S144" s="165" t="s">
        <v>138</v>
      </c>
      <c r="T144" s="165" t="s">
        <v>139</v>
      </c>
      <c r="U144" s="164" t="s">
        <v>140</v>
      </c>
      <c r="V144" s="165" t="s">
        <v>144</v>
      </c>
      <c r="W144" s="165" t="s">
        <v>141</v>
      </c>
      <c r="X144" s="252" t="s">
        <v>160</v>
      </c>
    </row>
    <row r="145" spans="1:24" ht="46.8" x14ac:dyDescent="0.3">
      <c r="A145" s="51"/>
      <c r="B145" s="51" t="s">
        <v>171</v>
      </c>
      <c r="C145" s="272" t="s">
        <v>146</v>
      </c>
      <c r="D145" s="272">
        <v>16844</v>
      </c>
      <c r="E145" s="34" t="s">
        <v>14</v>
      </c>
      <c r="F145" s="35" t="s">
        <v>103</v>
      </c>
      <c r="G145" s="36" t="s">
        <v>104</v>
      </c>
      <c r="H145" s="273">
        <v>11343</v>
      </c>
      <c r="I145" s="274">
        <v>7384540.5599999996</v>
      </c>
      <c r="J145" s="110">
        <v>5907633.6200000001</v>
      </c>
      <c r="K145" s="63">
        <f>I145-J145</f>
        <v>1476906.9399999995</v>
      </c>
      <c r="L145" s="82">
        <f>J145*20%</f>
        <v>1181526.7240000002</v>
      </c>
      <c r="M145" s="82">
        <v>0</v>
      </c>
      <c r="N145" s="82"/>
      <c r="O145" s="86"/>
      <c r="P145" s="281"/>
      <c r="Q145" s="82"/>
      <c r="R145" s="82"/>
      <c r="S145" s="82"/>
      <c r="T145" s="82"/>
      <c r="U145" s="82"/>
      <c r="V145" s="209">
        <f>SUM(L145:U145)</f>
        <v>1181526.7240000002</v>
      </c>
      <c r="W145" s="63">
        <f>J145-V145</f>
        <v>4726106.8959999997</v>
      </c>
      <c r="X145" s="275">
        <f>W145+K145</f>
        <v>6203013.8359999992</v>
      </c>
    </row>
    <row r="146" spans="1:24" ht="62.4" x14ac:dyDescent="0.3">
      <c r="A146" s="47"/>
      <c r="B146" s="51" t="s">
        <v>171</v>
      </c>
      <c r="C146" s="258" t="s">
        <v>146</v>
      </c>
      <c r="D146" s="272">
        <v>16844</v>
      </c>
      <c r="E146" s="37" t="s">
        <v>21</v>
      </c>
      <c r="F146" s="38" t="s">
        <v>105</v>
      </c>
      <c r="G146" s="39" t="s">
        <v>106</v>
      </c>
      <c r="H146" s="260">
        <v>18173</v>
      </c>
      <c r="I146" s="20">
        <v>9634540.5600000005</v>
      </c>
      <c r="J146" s="111">
        <f>7707477.58-1300000</f>
        <v>6407477.5800000001</v>
      </c>
      <c r="K146" s="62">
        <f t="shared" ref="K146:K147" si="76">I146-J146</f>
        <v>3227062.9800000004</v>
      </c>
      <c r="L146" s="81">
        <f>7707477.58*20%</f>
        <v>1541495.5160000001</v>
      </c>
      <c r="M146" s="81">
        <v>0</v>
      </c>
      <c r="N146" s="81"/>
      <c r="O146" s="94"/>
      <c r="P146" s="282"/>
      <c r="Q146" s="81"/>
      <c r="R146" s="81"/>
      <c r="S146" s="81"/>
      <c r="T146" s="81"/>
      <c r="U146" s="81"/>
      <c r="V146" s="88">
        <f t="shared" ref="V146:V147" si="77">SUM(L146:U146)</f>
        <v>1541495.5160000001</v>
      </c>
      <c r="W146" s="62">
        <f t="shared" ref="W146:W147" si="78">J146-V146</f>
        <v>4865982.0640000002</v>
      </c>
      <c r="X146" s="262">
        <f t="shared" ref="X146:X147" si="79">W146+K146</f>
        <v>8093045.0440000007</v>
      </c>
    </row>
    <row r="147" spans="1:24" ht="47.4" thickBot="1" x14ac:dyDescent="0.35">
      <c r="A147" s="48"/>
      <c r="B147" s="51" t="s">
        <v>171</v>
      </c>
      <c r="C147" s="263" t="s">
        <v>146</v>
      </c>
      <c r="D147" s="272">
        <v>16844</v>
      </c>
      <c r="E147" s="264" t="s">
        <v>26</v>
      </c>
      <c r="F147" s="265" t="s">
        <v>107</v>
      </c>
      <c r="G147" s="266" t="s">
        <v>108</v>
      </c>
      <c r="H147" s="291">
        <v>7279</v>
      </c>
      <c r="I147" s="267">
        <v>9384540.5600000005</v>
      </c>
      <c r="J147" s="171">
        <f>7511830.62-1300000</f>
        <v>6211830.6200000001</v>
      </c>
      <c r="K147" s="172">
        <f t="shared" si="76"/>
        <v>3172709.9400000004</v>
      </c>
      <c r="L147" s="292">
        <f>7511830.62*20%</f>
        <v>1502366.1240000001</v>
      </c>
      <c r="M147" s="292">
        <v>0</v>
      </c>
      <c r="N147" s="292"/>
      <c r="O147" s="293"/>
      <c r="P147" s="282"/>
      <c r="Q147" s="81"/>
      <c r="R147" s="81"/>
      <c r="S147" s="81"/>
      <c r="T147" s="81"/>
      <c r="U147" s="81"/>
      <c r="V147" s="88">
        <f t="shared" si="77"/>
        <v>1502366.1240000001</v>
      </c>
      <c r="W147" s="62">
        <f t="shared" si="78"/>
        <v>4709464.4960000003</v>
      </c>
      <c r="X147" s="262">
        <f t="shared" si="79"/>
        <v>7882174.4360000007</v>
      </c>
    </row>
    <row r="148" spans="1:24" ht="16.2" thickBot="1" x14ac:dyDescent="0.35">
      <c r="A148" s="283"/>
      <c r="B148" s="404"/>
      <c r="C148" s="284"/>
      <c r="D148" s="284"/>
      <c r="E148" s="285"/>
      <c r="F148" s="286"/>
      <c r="G148" s="287"/>
      <c r="H148" s="288">
        <f>SUM(H145:H147)</f>
        <v>36795</v>
      </c>
      <c r="I148" s="289">
        <f>SUM(I145:I147)</f>
        <v>26403621.68</v>
      </c>
      <c r="J148" s="290">
        <f>SUM(J145:J147)</f>
        <v>18526941.82</v>
      </c>
      <c r="K148" s="268">
        <f>SUM(K145:K147)</f>
        <v>7876679.8600000003</v>
      </c>
      <c r="L148" s="268">
        <f t="shared" ref="L148:X148" si="80">SUM(L145:L147)</f>
        <v>4225388.3640000001</v>
      </c>
      <c r="M148" s="268">
        <f t="shared" si="80"/>
        <v>0</v>
      </c>
      <c r="N148" s="268">
        <f t="shared" si="80"/>
        <v>0</v>
      </c>
      <c r="O148" s="268">
        <f t="shared" si="80"/>
        <v>0</v>
      </c>
      <c r="P148" s="172">
        <f t="shared" si="80"/>
        <v>0</v>
      </c>
      <c r="Q148" s="172">
        <f t="shared" si="80"/>
        <v>0</v>
      </c>
      <c r="R148" s="172">
        <f t="shared" si="80"/>
        <v>0</v>
      </c>
      <c r="S148" s="172">
        <f t="shared" si="80"/>
        <v>0</v>
      </c>
      <c r="T148" s="172">
        <f t="shared" si="80"/>
        <v>0</v>
      </c>
      <c r="U148" s="172">
        <f t="shared" si="80"/>
        <v>0</v>
      </c>
      <c r="V148" s="172">
        <f t="shared" si="80"/>
        <v>4225388.3640000001</v>
      </c>
      <c r="W148" s="172">
        <f t="shared" si="80"/>
        <v>14301553.456</v>
      </c>
      <c r="X148" s="174">
        <f t="shared" si="80"/>
        <v>22178233.316</v>
      </c>
    </row>
    <row r="149" spans="1:24" x14ac:dyDescent="0.3">
      <c r="C149" s="253"/>
      <c r="D149" s="253"/>
      <c r="E149" s="112"/>
      <c r="F149" s="254"/>
      <c r="G149" s="255"/>
      <c r="H149" s="261"/>
      <c r="I149" s="257"/>
      <c r="J149" s="160"/>
      <c r="K149" s="161"/>
      <c r="L149" s="75"/>
    </row>
    <row r="150" spans="1:24" x14ac:dyDescent="0.3">
      <c r="C150" s="253"/>
      <c r="D150" s="253"/>
      <c r="E150" s="112"/>
      <c r="F150" s="254"/>
      <c r="G150" s="255"/>
      <c r="H150" s="256"/>
      <c r="I150" s="257"/>
      <c r="J150" s="160"/>
      <c r="K150" s="161">
        <f>K148-2600000</f>
        <v>5276679.8600000003</v>
      </c>
      <c r="L150" s="75"/>
    </row>
    <row r="151" spans="1:24" x14ac:dyDescent="0.3">
      <c r="C151" s="253"/>
      <c r="D151" s="253"/>
      <c r="E151" s="112"/>
      <c r="F151" s="254"/>
      <c r="G151" s="255"/>
      <c r="H151" s="256"/>
      <c r="I151" s="257"/>
      <c r="J151" s="160"/>
      <c r="K151" s="161"/>
      <c r="L151" s="75"/>
    </row>
    <row r="152" spans="1:24" x14ac:dyDescent="0.3">
      <c r="C152" s="253"/>
      <c r="D152" s="253"/>
      <c r="E152" s="112"/>
      <c r="F152" s="254"/>
      <c r="G152" s="255"/>
      <c r="H152" s="256"/>
      <c r="I152" s="257"/>
      <c r="J152" s="160"/>
      <c r="K152" s="161"/>
      <c r="L152" s="75"/>
    </row>
    <row r="153" spans="1:24" x14ac:dyDescent="0.3">
      <c r="C153" s="253"/>
      <c r="D153" s="253"/>
      <c r="E153" s="112"/>
      <c r="F153" s="254"/>
      <c r="G153" s="255"/>
      <c r="H153" s="256"/>
      <c r="I153" s="257"/>
      <c r="J153" s="160"/>
      <c r="K153" s="161"/>
      <c r="L153" s="75"/>
    </row>
    <row r="154" spans="1:24" x14ac:dyDescent="0.3">
      <c r="C154" s="253"/>
      <c r="D154" s="253"/>
      <c r="E154" s="112"/>
      <c r="F154" s="254"/>
      <c r="G154" s="255"/>
      <c r="H154" s="256"/>
      <c r="I154" s="257"/>
      <c r="J154" s="160"/>
      <c r="K154" s="161"/>
      <c r="L154" s="75"/>
    </row>
    <row r="155" spans="1:24" ht="16.2" thickBot="1" x14ac:dyDescent="0.35">
      <c r="E155" s="112"/>
      <c r="F155" s="254"/>
      <c r="G155" s="255"/>
      <c r="H155" s="256"/>
      <c r="I155" s="257"/>
      <c r="J155" s="160"/>
      <c r="K155" s="161"/>
      <c r="L155" s="75"/>
    </row>
    <row r="156" spans="1:24" ht="63" thickBot="1" x14ac:dyDescent="0.35">
      <c r="C156" s="326"/>
      <c r="D156" s="326"/>
      <c r="E156" s="376">
        <v>3</v>
      </c>
      <c r="F156" s="377" t="s">
        <v>109</v>
      </c>
      <c r="G156" s="295" t="s">
        <v>13</v>
      </c>
      <c r="H156" s="296"/>
      <c r="I156" s="378">
        <v>40919582.463055789</v>
      </c>
      <c r="J156" s="160">
        <v>0</v>
      </c>
      <c r="K156" s="161"/>
      <c r="L156" s="75"/>
      <c r="M156" s="75"/>
      <c r="X156" s="42">
        <f t="shared" ref="X156" si="81">W156+K156</f>
        <v>0</v>
      </c>
    </row>
    <row r="157" spans="1:24" x14ac:dyDescent="0.3">
      <c r="E157" s="32"/>
      <c r="F157" s="157"/>
      <c r="G157" s="158"/>
      <c r="H157" s="159"/>
      <c r="I157" s="93"/>
      <c r="J157" s="160"/>
      <c r="K157" s="161"/>
      <c r="L157" s="75"/>
      <c r="M157" s="75"/>
    </row>
    <row r="158" spans="1:24" x14ac:dyDescent="0.3">
      <c r="E158" s="32"/>
      <c r="F158" s="157"/>
      <c r="G158" s="158"/>
      <c r="H158" s="159"/>
      <c r="I158" s="93"/>
      <c r="J158" s="160"/>
      <c r="K158" s="161"/>
      <c r="L158" s="75"/>
      <c r="M158" s="75"/>
    </row>
    <row r="159" spans="1:24" s="31" customFormat="1" ht="31.8" thickBot="1" x14ac:dyDescent="0.35">
      <c r="A159" s="374"/>
      <c r="B159" s="374" t="s">
        <v>168</v>
      </c>
      <c r="C159" s="163" t="s">
        <v>164</v>
      </c>
      <c r="D159" s="393" t="s">
        <v>169</v>
      </c>
      <c r="E159" s="164" t="s">
        <v>172</v>
      </c>
      <c r="F159" s="409" t="s">
        <v>15</v>
      </c>
      <c r="G159" s="409"/>
      <c r="H159" s="165" t="s">
        <v>4</v>
      </c>
      <c r="I159" s="165" t="s">
        <v>5</v>
      </c>
      <c r="J159" s="118" t="s">
        <v>131</v>
      </c>
      <c r="K159" s="117" t="s">
        <v>145</v>
      </c>
      <c r="L159" s="119">
        <v>0.2</v>
      </c>
      <c r="M159" s="117" t="s">
        <v>132</v>
      </c>
      <c r="N159" s="117" t="s">
        <v>133</v>
      </c>
      <c r="O159" s="117" t="s">
        <v>134</v>
      </c>
      <c r="P159" s="117" t="s">
        <v>135</v>
      </c>
      <c r="Q159" s="117" t="s">
        <v>136</v>
      </c>
      <c r="R159" s="117" t="s">
        <v>137</v>
      </c>
      <c r="S159" s="117" t="s">
        <v>138</v>
      </c>
      <c r="T159" s="117" t="s">
        <v>139</v>
      </c>
      <c r="U159" s="116" t="s">
        <v>140</v>
      </c>
      <c r="V159" s="117" t="s">
        <v>144</v>
      </c>
      <c r="W159" s="375" t="s">
        <v>141</v>
      </c>
      <c r="X159" s="252" t="s">
        <v>160</v>
      </c>
    </row>
    <row r="160" spans="1:24" x14ac:dyDescent="0.3">
      <c r="A160" s="22" t="s">
        <v>150</v>
      </c>
      <c r="B160" s="51" t="s">
        <v>181</v>
      </c>
      <c r="C160" s="47" t="s">
        <v>163</v>
      </c>
      <c r="D160" s="384">
        <v>16879</v>
      </c>
      <c r="E160" s="6">
        <v>1</v>
      </c>
      <c r="F160" s="10" t="s">
        <v>16</v>
      </c>
      <c r="G160" s="9" t="s">
        <v>111</v>
      </c>
      <c r="H160" s="6">
        <v>330</v>
      </c>
      <c r="I160" s="229">
        <f>[1]PRESUPUESTO!$G$42</f>
        <v>2810700.0185658624</v>
      </c>
      <c r="J160" s="226">
        <v>2850122.36</v>
      </c>
      <c r="K160" s="231">
        <f>I160-J160</f>
        <v>-39422.34143413743</v>
      </c>
      <c r="L160" s="79">
        <f t="shared" ref="L160:L177" si="82">J160*20%</f>
        <v>570024.47199999995</v>
      </c>
      <c r="M160" s="79">
        <v>0</v>
      </c>
      <c r="N160" s="79">
        <v>0</v>
      </c>
      <c r="O160" s="79">
        <v>0</v>
      </c>
      <c r="P160" s="79">
        <v>0</v>
      </c>
      <c r="Q160" s="79">
        <v>0</v>
      </c>
      <c r="R160" s="79">
        <v>0</v>
      </c>
      <c r="S160" s="79">
        <v>0</v>
      </c>
      <c r="T160" s="79">
        <v>0</v>
      </c>
      <c r="U160" s="79">
        <f>SUM(M160:T160)</f>
        <v>0</v>
      </c>
      <c r="V160" s="80">
        <f t="shared" ref="V160:V168" si="83">L160+U160</f>
        <v>570024.47199999995</v>
      </c>
      <c r="W160" s="94">
        <f>I160-V160</f>
        <v>2240675.5465658624</v>
      </c>
      <c r="X160" s="262">
        <f t="shared" ref="X160:X165" si="84">W160+K160</f>
        <v>2201253.2051317249</v>
      </c>
    </row>
    <row r="161" spans="1:24" x14ac:dyDescent="0.3">
      <c r="A161" s="22" t="s">
        <v>150</v>
      </c>
      <c r="B161" s="51" t="s">
        <v>181</v>
      </c>
      <c r="C161" s="47" t="s">
        <v>163</v>
      </c>
      <c r="D161" s="384">
        <v>16879</v>
      </c>
      <c r="E161" s="6">
        <v>2</v>
      </c>
      <c r="F161" s="9" t="s">
        <v>16</v>
      </c>
      <c r="G161" s="9" t="s">
        <v>112</v>
      </c>
      <c r="H161" s="6">
        <v>200</v>
      </c>
      <c r="I161" s="229">
        <f>[2]PRESUPUESTO!$G$44</f>
        <v>572688.8888798363</v>
      </c>
      <c r="J161" s="226">
        <v>591558.27</v>
      </c>
      <c r="K161" s="231">
        <f t="shared" ref="K161:K168" si="85">I161-J161</f>
        <v>-18869.381120163715</v>
      </c>
      <c r="L161" s="79">
        <f t="shared" si="82"/>
        <v>118311.65400000001</v>
      </c>
      <c r="M161" s="79"/>
      <c r="N161" s="79"/>
      <c r="O161" s="79"/>
      <c r="P161" s="79"/>
      <c r="Q161" s="79"/>
      <c r="R161" s="79"/>
      <c r="S161" s="79"/>
      <c r="T161" s="79"/>
      <c r="U161" s="79"/>
      <c r="V161" s="80">
        <f t="shared" si="83"/>
        <v>118311.65400000001</v>
      </c>
      <c r="W161" s="94">
        <f t="shared" ref="W161:W165" si="86">I161-V161</f>
        <v>454377.23487983632</v>
      </c>
      <c r="X161" s="262">
        <f t="shared" si="84"/>
        <v>435507.85375967261</v>
      </c>
    </row>
    <row r="162" spans="1:24" x14ac:dyDescent="0.3">
      <c r="A162" s="22" t="s">
        <v>150</v>
      </c>
      <c r="B162" s="51" t="s">
        <v>181</v>
      </c>
      <c r="C162" s="47" t="s">
        <v>163</v>
      </c>
      <c r="D162" s="384">
        <v>16879</v>
      </c>
      <c r="E162" s="6">
        <v>3</v>
      </c>
      <c r="F162" s="9" t="s">
        <v>16</v>
      </c>
      <c r="G162" s="17" t="s">
        <v>116</v>
      </c>
      <c r="H162" s="6">
        <v>125</v>
      </c>
      <c r="I162" s="225">
        <v>994989.31</v>
      </c>
      <c r="J162" s="226">
        <v>1174581.71</v>
      </c>
      <c r="K162" s="231">
        <f t="shared" si="85"/>
        <v>-179592.39999999991</v>
      </c>
      <c r="L162" s="79">
        <f>J162*20%</f>
        <v>234916.342</v>
      </c>
      <c r="M162" s="79"/>
      <c r="N162" s="79"/>
      <c r="O162" s="79"/>
      <c r="P162" s="79"/>
      <c r="Q162" s="79"/>
      <c r="R162" s="79"/>
      <c r="S162" s="79"/>
      <c r="T162" s="79"/>
      <c r="U162" s="79"/>
      <c r="V162" s="80">
        <f t="shared" si="83"/>
        <v>234916.342</v>
      </c>
      <c r="W162" s="94">
        <f t="shared" si="86"/>
        <v>760072.96800000011</v>
      </c>
      <c r="X162" s="262">
        <f t="shared" si="84"/>
        <v>580480.5680000002</v>
      </c>
    </row>
    <row r="163" spans="1:24" x14ac:dyDescent="0.3">
      <c r="A163" s="22" t="s">
        <v>150</v>
      </c>
      <c r="B163" s="51" t="s">
        <v>181</v>
      </c>
      <c r="C163" s="47" t="s">
        <v>163</v>
      </c>
      <c r="D163" s="384">
        <v>16879</v>
      </c>
      <c r="E163" s="6">
        <v>4</v>
      </c>
      <c r="F163" s="17" t="s">
        <v>16</v>
      </c>
      <c r="G163" s="17" t="s">
        <v>113</v>
      </c>
      <c r="H163" s="18">
        <v>225</v>
      </c>
      <c r="I163" s="225">
        <v>1086179.3</v>
      </c>
      <c r="J163" s="226">
        <v>1176197.75</v>
      </c>
      <c r="K163" s="231">
        <f t="shared" si="85"/>
        <v>-90018.449999999953</v>
      </c>
      <c r="L163" s="79">
        <f t="shared" si="82"/>
        <v>235239.55000000002</v>
      </c>
      <c r="M163" s="79"/>
      <c r="N163" s="79"/>
      <c r="O163" s="79"/>
      <c r="P163" s="79"/>
      <c r="Q163" s="79"/>
      <c r="R163" s="79"/>
      <c r="S163" s="79"/>
      <c r="T163" s="79"/>
      <c r="U163" s="79"/>
      <c r="V163" s="80">
        <f t="shared" si="83"/>
        <v>235239.55000000002</v>
      </c>
      <c r="W163" s="94">
        <f t="shared" si="86"/>
        <v>850939.75</v>
      </c>
      <c r="X163" s="262">
        <f t="shared" si="84"/>
        <v>760921.3</v>
      </c>
    </row>
    <row r="164" spans="1:24" x14ac:dyDescent="0.3">
      <c r="A164" s="22" t="s">
        <v>150</v>
      </c>
      <c r="B164" s="51" t="s">
        <v>181</v>
      </c>
      <c r="C164" s="47" t="s">
        <v>163</v>
      </c>
      <c r="D164" s="384">
        <v>16879</v>
      </c>
      <c r="E164" s="6">
        <v>5</v>
      </c>
      <c r="F164" s="9" t="s">
        <v>16</v>
      </c>
      <c r="G164" s="9" t="s">
        <v>114</v>
      </c>
      <c r="H164" s="6">
        <v>225</v>
      </c>
      <c r="I164" s="225">
        <v>1075691.02</v>
      </c>
      <c r="J164" s="226">
        <v>1091934.29</v>
      </c>
      <c r="K164" s="231">
        <f t="shared" si="85"/>
        <v>-16243.270000000019</v>
      </c>
      <c r="L164" s="79">
        <f t="shared" si="82"/>
        <v>218386.85800000001</v>
      </c>
      <c r="M164" s="79"/>
      <c r="N164" s="79"/>
      <c r="O164" s="79"/>
      <c r="P164" s="79"/>
      <c r="Q164" s="79"/>
      <c r="R164" s="79"/>
      <c r="S164" s="79"/>
      <c r="T164" s="79"/>
      <c r="U164" s="79"/>
      <c r="V164" s="80">
        <f t="shared" si="83"/>
        <v>218386.85800000001</v>
      </c>
      <c r="W164" s="94">
        <f t="shared" si="86"/>
        <v>857304.16200000001</v>
      </c>
      <c r="X164" s="262">
        <f t="shared" si="84"/>
        <v>841060.89199999999</v>
      </c>
    </row>
    <row r="165" spans="1:24" x14ac:dyDescent="0.3">
      <c r="A165" s="22" t="s">
        <v>150</v>
      </c>
      <c r="B165" s="51" t="s">
        <v>181</v>
      </c>
      <c r="C165" s="47" t="s">
        <v>163</v>
      </c>
      <c r="D165" s="384">
        <v>16879</v>
      </c>
      <c r="E165" s="6">
        <v>6</v>
      </c>
      <c r="F165" s="9" t="s">
        <v>16</v>
      </c>
      <c r="G165" s="9" t="s">
        <v>115</v>
      </c>
      <c r="H165" s="6">
        <v>505</v>
      </c>
      <c r="I165" s="225">
        <v>1920848.44</v>
      </c>
      <c r="J165" s="226">
        <v>2060622.85</v>
      </c>
      <c r="K165" s="231">
        <f t="shared" si="85"/>
        <v>-139774.41000000015</v>
      </c>
      <c r="L165" s="79">
        <f t="shared" si="82"/>
        <v>412124.57000000007</v>
      </c>
      <c r="M165" s="79"/>
      <c r="N165" s="79"/>
      <c r="O165" s="79"/>
      <c r="P165" s="79"/>
      <c r="Q165" s="79"/>
      <c r="R165" s="79"/>
      <c r="S165" s="79"/>
      <c r="T165" s="79"/>
      <c r="U165" s="79"/>
      <c r="V165" s="80">
        <f t="shared" si="83"/>
        <v>412124.57000000007</v>
      </c>
      <c r="W165" s="94">
        <f t="shared" si="86"/>
        <v>1508723.8699999999</v>
      </c>
      <c r="X165" s="262">
        <f t="shared" si="84"/>
        <v>1368949.4599999997</v>
      </c>
    </row>
    <row r="166" spans="1:24" s="233" customFormat="1" x14ac:dyDescent="0.3">
      <c r="A166" s="233" t="s">
        <v>157</v>
      </c>
      <c r="B166" s="51"/>
      <c r="C166" s="234"/>
      <c r="D166" s="384"/>
      <c r="E166" s="235"/>
      <c r="F166" s="236"/>
      <c r="G166" s="236"/>
      <c r="H166" s="1">
        <f>SUM(H160:H165)</f>
        <v>1610</v>
      </c>
      <c r="I166" s="235">
        <f t="shared" ref="I166:X166" si="87">SUM(I160:I165)</f>
        <v>8461096.9774456993</v>
      </c>
      <c r="J166" s="235">
        <f>SUM(J160:J165)</f>
        <v>8945017.2300000004</v>
      </c>
      <c r="K166" s="235">
        <f t="shared" si="87"/>
        <v>-483920.25255430117</v>
      </c>
      <c r="L166" s="235">
        <f t="shared" si="87"/>
        <v>1789003.446</v>
      </c>
      <c r="M166" s="235">
        <f t="shared" si="87"/>
        <v>0</v>
      </c>
      <c r="N166" s="235">
        <f t="shared" si="87"/>
        <v>0</v>
      </c>
      <c r="O166" s="235">
        <f t="shared" si="87"/>
        <v>0</v>
      </c>
      <c r="P166" s="235">
        <f t="shared" si="87"/>
        <v>0</v>
      </c>
      <c r="Q166" s="235">
        <f t="shared" si="87"/>
        <v>0</v>
      </c>
      <c r="R166" s="235">
        <f t="shared" si="87"/>
        <v>0</v>
      </c>
      <c r="S166" s="235">
        <f t="shared" si="87"/>
        <v>0</v>
      </c>
      <c r="T166" s="235">
        <f t="shared" si="87"/>
        <v>0</v>
      </c>
      <c r="U166" s="235">
        <f t="shared" si="87"/>
        <v>0</v>
      </c>
      <c r="V166" s="235">
        <f t="shared" si="87"/>
        <v>1789003.446</v>
      </c>
      <c r="W166" s="235">
        <f t="shared" si="87"/>
        <v>6672093.5314456997</v>
      </c>
      <c r="X166" s="235">
        <f t="shared" si="87"/>
        <v>6188173.2788913976</v>
      </c>
    </row>
    <row r="167" spans="1:24" x14ac:dyDescent="0.3">
      <c r="A167" s="22" t="s">
        <v>150</v>
      </c>
      <c r="B167" s="51" t="s">
        <v>181</v>
      </c>
      <c r="C167" s="47" t="s">
        <v>163</v>
      </c>
      <c r="D167" s="384">
        <v>16879</v>
      </c>
      <c r="E167" s="6">
        <v>1</v>
      </c>
      <c r="F167" s="16" t="s">
        <v>45</v>
      </c>
      <c r="G167" s="16" t="s">
        <v>110</v>
      </c>
      <c r="H167" s="18">
        <v>1200</v>
      </c>
      <c r="I167" s="225">
        <v>3179737.7087980006</v>
      </c>
      <c r="J167" s="226">
        <v>2861763.94</v>
      </c>
      <c r="K167" s="231">
        <f t="shared" si="85"/>
        <v>317973.76879800064</v>
      </c>
      <c r="L167" s="79">
        <f>J167*20%</f>
        <v>572352.78800000006</v>
      </c>
      <c r="M167" s="79"/>
      <c r="N167" s="79"/>
      <c r="O167" s="79"/>
      <c r="P167" s="79"/>
      <c r="Q167" s="79"/>
      <c r="R167" s="79"/>
      <c r="S167" s="79"/>
      <c r="T167" s="79"/>
      <c r="U167" s="79"/>
      <c r="V167" s="80">
        <f t="shared" si="83"/>
        <v>572352.78800000006</v>
      </c>
      <c r="W167" s="94">
        <f t="shared" ref="W167:W168" si="88">I167-V167</f>
        <v>2607384.9207980004</v>
      </c>
      <c r="X167" s="262">
        <f t="shared" ref="X167:X168" si="89">W167+K167</f>
        <v>2925358.6895960011</v>
      </c>
    </row>
    <row r="168" spans="1:24" x14ac:dyDescent="0.3">
      <c r="A168" s="22" t="s">
        <v>150</v>
      </c>
      <c r="B168" s="51" t="s">
        <v>181</v>
      </c>
      <c r="C168" s="47" t="s">
        <v>163</v>
      </c>
      <c r="D168" s="384">
        <v>16879</v>
      </c>
      <c r="E168" s="6">
        <v>2</v>
      </c>
      <c r="F168" s="10" t="s">
        <v>45</v>
      </c>
      <c r="G168" s="9" t="s">
        <v>112</v>
      </c>
      <c r="H168" s="6">
        <v>200</v>
      </c>
      <c r="I168" s="225">
        <f>'[3]Presup. Vereda al Medio V.M'!$G$92</f>
        <v>3126304.2513624178</v>
      </c>
      <c r="J168" s="226">
        <v>2813673.83</v>
      </c>
      <c r="K168" s="231">
        <f t="shared" si="85"/>
        <v>312630.42136241775</v>
      </c>
      <c r="L168" s="79">
        <f>J168*20%</f>
        <v>562734.76600000006</v>
      </c>
      <c r="M168" s="79"/>
      <c r="N168" s="79"/>
      <c r="O168" s="79"/>
      <c r="P168" s="79"/>
      <c r="Q168" s="79"/>
      <c r="R168" s="79"/>
      <c r="S168" s="79"/>
      <c r="T168" s="79"/>
      <c r="U168" s="79"/>
      <c r="V168" s="80">
        <f t="shared" si="83"/>
        <v>562734.76600000006</v>
      </c>
      <c r="W168" s="94">
        <f t="shared" si="88"/>
        <v>2563569.485362418</v>
      </c>
      <c r="X168" s="262">
        <f t="shared" si="89"/>
        <v>2876199.9067248357</v>
      </c>
    </row>
    <row r="169" spans="1:24" s="31" customFormat="1" x14ac:dyDescent="0.3">
      <c r="A169" s="31" t="s">
        <v>157</v>
      </c>
      <c r="C169" s="237"/>
      <c r="D169" s="398"/>
      <c r="E169" s="11"/>
      <c r="F169" s="238"/>
      <c r="G169" s="239"/>
      <c r="H169" s="11"/>
      <c r="I169" s="240">
        <f>SUM(I167:I168)</f>
        <v>6306041.9601604184</v>
      </c>
      <c r="J169" s="240">
        <f t="shared" ref="J169:X169" si="90">SUM(J167:J168)</f>
        <v>5675437.7699999996</v>
      </c>
      <c r="K169" s="240">
        <f t="shared" si="90"/>
        <v>630604.19016041839</v>
      </c>
      <c r="L169" s="240">
        <f t="shared" si="90"/>
        <v>1135087.554</v>
      </c>
      <c r="M169" s="240">
        <f t="shared" si="90"/>
        <v>0</v>
      </c>
      <c r="N169" s="240">
        <f t="shared" si="90"/>
        <v>0</v>
      </c>
      <c r="O169" s="240">
        <f t="shared" si="90"/>
        <v>0</v>
      </c>
      <c r="P169" s="240">
        <f t="shared" si="90"/>
        <v>0</v>
      </c>
      <c r="Q169" s="240">
        <f t="shared" si="90"/>
        <v>0</v>
      </c>
      <c r="R169" s="240">
        <f t="shared" si="90"/>
        <v>0</v>
      </c>
      <c r="S169" s="240">
        <f t="shared" si="90"/>
        <v>0</v>
      </c>
      <c r="T169" s="240">
        <f t="shared" si="90"/>
        <v>0</v>
      </c>
      <c r="U169" s="240">
        <f t="shared" si="90"/>
        <v>0</v>
      </c>
      <c r="V169" s="240">
        <f t="shared" si="90"/>
        <v>1135087.554</v>
      </c>
      <c r="W169" s="240">
        <f t="shared" si="90"/>
        <v>5170954.4061604179</v>
      </c>
      <c r="X169" s="240">
        <f t="shared" si="90"/>
        <v>5801558.5963208368</v>
      </c>
    </row>
    <row r="170" spans="1:24" s="31" customFormat="1" ht="16.2" thickBot="1" x14ac:dyDescent="0.35">
      <c r="A170" s="194" t="s">
        <v>152</v>
      </c>
      <c r="B170" s="194"/>
      <c r="C170" s="184"/>
      <c r="D170" s="399"/>
      <c r="E170" s="186"/>
      <c r="F170" s="187"/>
      <c r="G170" s="188"/>
      <c r="H170" s="186">
        <f>SUM(H160:H168)</f>
        <v>4620</v>
      </c>
      <c r="I170" s="208">
        <f>I166+I169</f>
        <v>14767138.937606119</v>
      </c>
      <c r="J170" s="208">
        <f>J166+J169</f>
        <v>14620455</v>
      </c>
      <c r="K170" s="208">
        <f>K166+K169</f>
        <v>146683.93760611722</v>
      </c>
      <c r="L170" s="208">
        <f>L166+L169</f>
        <v>2924091</v>
      </c>
      <c r="M170" s="208">
        <f>M166+M169</f>
        <v>0</v>
      </c>
      <c r="N170" s="208">
        <f>N166+N169</f>
        <v>0</v>
      </c>
      <c r="O170" s="208">
        <f>O166+O169</f>
        <v>0</v>
      </c>
      <c r="P170" s="208">
        <f>P166+P169</f>
        <v>0</v>
      </c>
      <c r="Q170" s="208">
        <f>Q166+Q169</f>
        <v>0</v>
      </c>
      <c r="R170" s="208">
        <f>R166+R169</f>
        <v>0</v>
      </c>
      <c r="S170" s="208">
        <f>S166+S169</f>
        <v>0</v>
      </c>
      <c r="T170" s="208">
        <f>T166+T169</f>
        <v>0</v>
      </c>
      <c r="U170" s="208">
        <f>U166+U169</f>
        <v>0</v>
      </c>
      <c r="V170" s="208">
        <f>V166+V169</f>
        <v>2924091</v>
      </c>
      <c r="W170" s="208">
        <f>W166+W169</f>
        <v>11843047.937606119</v>
      </c>
      <c r="X170" s="208">
        <f>X166+X169</f>
        <v>11989731.875212234</v>
      </c>
    </row>
    <row r="171" spans="1:24" ht="16.2" thickBot="1" x14ac:dyDescent="0.35">
      <c r="A171" s="22" t="s">
        <v>148</v>
      </c>
      <c r="C171" s="182"/>
      <c r="D171" s="182"/>
      <c r="E171" s="182"/>
      <c r="F171" s="182"/>
      <c r="G171" s="182"/>
      <c r="H171" s="98"/>
      <c r="I171" s="98"/>
      <c r="J171" s="183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9"/>
      <c r="W171" s="98"/>
    </row>
    <row r="172" spans="1:24" s="31" customFormat="1" ht="31.8" thickBot="1" x14ac:dyDescent="0.35">
      <c r="A172" s="59" t="s">
        <v>148</v>
      </c>
      <c r="B172" s="59" t="s">
        <v>168</v>
      </c>
      <c r="C172" s="61" t="s">
        <v>164</v>
      </c>
      <c r="D172" s="400" t="s">
        <v>169</v>
      </c>
      <c r="E172" s="121" t="s">
        <v>174</v>
      </c>
      <c r="F172" s="410" t="s">
        <v>22</v>
      </c>
      <c r="G172" s="410"/>
      <c r="H172" s="44" t="s">
        <v>4</v>
      </c>
      <c r="I172" s="44" t="s">
        <v>5</v>
      </c>
      <c r="J172" s="107" t="s">
        <v>131</v>
      </c>
      <c r="K172" s="122" t="s">
        <v>145</v>
      </c>
      <c r="L172" s="45">
        <v>0.2</v>
      </c>
      <c r="M172" s="44" t="s">
        <v>132</v>
      </c>
      <c r="N172" s="44" t="s">
        <v>133</v>
      </c>
      <c r="O172" s="44" t="s">
        <v>134</v>
      </c>
      <c r="P172" s="44" t="s">
        <v>135</v>
      </c>
      <c r="Q172" s="44" t="s">
        <v>136</v>
      </c>
      <c r="R172" s="44" t="s">
        <v>137</v>
      </c>
      <c r="S172" s="44" t="s">
        <v>138</v>
      </c>
      <c r="T172" s="44" t="s">
        <v>139</v>
      </c>
      <c r="U172" s="43" t="s">
        <v>140</v>
      </c>
      <c r="V172" s="44" t="s">
        <v>144</v>
      </c>
      <c r="W172" s="60" t="s">
        <v>141</v>
      </c>
      <c r="X172" s="252" t="s">
        <v>160</v>
      </c>
    </row>
    <row r="173" spans="1:24" x14ac:dyDescent="0.3">
      <c r="A173" s="22" t="s">
        <v>150</v>
      </c>
      <c r="B173" s="51" t="s">
        <v>181</v>
      </c>
      <c r="C173" s="47" t="s">
        <v>163</v>
      </c>
      <c r="D173" s="384">
        <v>16879</v>
      </c>
      <c r="E173" s="6">
        <v>7</v>
      </c>
      <c r="F173" s="9" t="s">
        <v>16</v>
      </c>
      <c r="G173" s="9" t="s">
        <v>117</v>
      </c>
      <c r="H173" s="6">
        <v>275</v>
      </c>
      <c r="I173" s="225">
        <v>2025719.18</v>
      </c>
      <c r="J173" s="226">
        <v>2009340.36</v>
      </c>
      <c r="K173" s="231">
        <f t="shared" ref="K173:K182" si="91">I173-J173</f>
        <v>16378.819999999832</v>
      </c>
      <c r="L173" s="79">
        <f t="shared" si="82"/>
        <v>401868.07200000004</v>
      </c>
      <c r="M173" s="79"/>
      <c r="N173" s="79"/>
      <c r="O173" s="79"/>
      <c r="P173" s="79"/>
      <c r="Q173" s="79"/>
      <c r="R173" s="79"/>
      <c r="S173" s="79"/>
      <c r="T173" s="79"/>
      <c r="U173" s="79"/>
      <c r="V173" s="80">
        <f t="shared" ref="V173:V182" si="92">L173+U173</f>
        <v>401868.07200000004</v>
      </c>
      <c r="W173" s="94">
        <f t="shared" ref="W173:W182" si="93">I173-V173</f>
        <v>1623851.108</v>
      </c>
      <c r="X173" s="262">
        <f t="shared" ref="X173:X182" si="94">W173+K173</f>
        <v>1640229.9279999998</v>
      </c>
    </row>
    <row r="174" spans="1:24" x14ac:dyDescent="0.3">
      <c r="A174" s="22" t="s">
        <v>150</v>
      </c>
      <c r="B174" s="51" t="s">
        <v>181</v>
      </c>
      <c r="C174" s="47" t="s">
        <v>163</v>
      </c>
      <c r="D174" s="384">
        <v>16879</v>
      </c>
      <c r="E174" s="6">
        <v>8</v>
      </c>
      <c r="F174" s="9" t="s">
        <v>16</v>
      </c>
      <c r="G174" s="9" t="s">
        <v>118</v>
      </c>
      <c r="H174" s="6">
        <v>280</v>
      </c>
      <c r="I174" s="225">
        <v>2535373.4900000002</v>
      </c>
      <c r="J174" s="226">
        <v>2584327.9700000002</v>
      </c>
      <c r="K174" s="231">
        <f t="shared" si="91"/>
        <v>-48954.479999999981</v>
      </c>
      <c r="L174" s="79">
        <f t="shared" si="82"/>
        <v>516865.59400000004</v>
      </c>
      <c r="M174" s="79"/>
      <c r="N174" s="79"/>
      <c r="O174" s="79"/>
      <c r="P174" s="79"/>
      <c r="Q174" s="79"/>
      <c r="R174" s="79"/>
      <c r="S174" s="79"/>
      <c r="T174" s="79"/>
      <c r="U174" s="79"/>
      <c r="V174" s="80">
        <f t="shared" si="92"/>
        <v>516865.59400000004</v>
      </c>
      <c r="W174" s="94">
        <f t="shared" si="93"/>
        <v>2018507.8960000002</v>
      </c>
      <c r="X174" s="262">
        <f t="shared" si="94"/>
        <v>1969553.4160000002</v>
      </c>
    </row>
    <row r="175" spans="1:24" x14ac:dyDescent="0.3">
      <c r="A175" s="22" t="s">
        <v>150</v>
      </c>
      <c r="B175" s="51" t="s">
        <v>181</v>
      </c>
      <c r="C175" s="47" t="s">
        <v>163</v>
      </c>
      <c r="D175" s="384">
        <v>16879</v>
      </c>
      <c r="E175" s="6">
        <v>9</v>
      </c>
      <c r="F175" s="9" t="s">
        <v>16</v>
      </c>
      <c r="G175" s="9" t="s">
        <v>119</v>
      </c>
      <c r="H175" s="6">
        <v>125</v>
      </c>
      <c r="I175" s="225">
        <v>565528.51</v>
      </c>
      <c r="J175" s="226">
        <v>581155.59</v>
      </c>
      <c r="K175" s="231">
        <f t="shared" si="91"/>
        <v>-15627.079999999958</v>
      </c>
      <c r="L175" s="79">
        <f t="shared" si="82"/>
        <v>116231.118</v>
      </c>
      <c r="M175" s="79"/>
      <c r="N175" s="79"/>
      <c r="O175" s="79"/>
      <c r="P175" s="79"/>
      <c r="Q175" s="79"/>
      <c r="R175" s="79"/>
      <c r="S175" s="79"/>
      <c r="T175" s="79"/>
      <c r="U175" s="79"/>
      <c r="V175" s="80">
        <f t="shared" si="92"/>
        <v>116231.118</v>
      </c>
      <c r="W175" s="94">
        <f t="shared" si="93"/>
        <v>449297.39199999999</v>
      </c>
      <c r="X175" s="262">
        <f t="shared" si="94"/>
        <v>433670.31200000003</v>
      </c>
    </row>
    <row r="176" spans="1:24" x14ac:dyDescent="0.3">
      <c r="A176" s="22" t="s">
        <v>150</v>
      </c>
      <c r="B176" s="51" t="s">
        <v>181</v>
      </c>
      <c r="C176" s="47" t="s">
        <v>163</v>
      </c>
      <c r="D176" s="384">
        <v>16879</v>
      </c>
      <c r="E176" s="6">
        <v>10</v>
      </c>
      <c r="F176" s="9" t="s">
        <v>16</v>
      </c>
      <c r="G176" s="9" t="s">
        <v>120</v>
      </c>
      <c r="H176" s="6">
        <v>100</v>
      </c>
      <c r="I176" s="225">
        <v>693468.93</v>
      </c>
      <c r="J176" s="226">
        <v>671509.05</v>
      </c>
      <c r="K176" s="231">
        <f t="shared" si="91"/>
        <v>21959.880000000005</v>
      </c>
      <c r="L176" s="79">
        <f t="shared" si="82"/>
        <v>134301.81000000003</v>
      </c>
      <c r="M176" s="79"/>
      <c r="N176" s="79"/>
      <c r="O176" s="79"/>
      <c r="P176" s="79"/>
      <c r="Q176" s="79"/>
      <c r="R176" s="79"/>
      <c r="S176" s="79"/>
      <c r="T176" s="79"/>
      <c r="U176" s="79"/>
      <c r="V176" s="80">
        <f t="shared" si="92"/>
        <v>134301.81000000003</v>
      </c>
      <c r="W176" s="94">
        <f t="shared" si="93"/>
        <v>559167.12</v>
      </c>
      <c r="X176" s="262">
        <f t="shared" si="94"/>
        <v>581127</v>
      </c>
    </row>
    <row r="177" spans="1:24" x14ac:dyDescent="0.3">
      <c r="A177" s="22" t="s">
        <v>150</v>
      </c>
      <c r="B177" s="51" t="s">
        <v>181</v>
      </c>
      <c r="C177" s="47" t="s">
        <v>163</v>
      </c>
      <c r="D177" s="384">
        <v>16879</v>
      </c>
      <c r="E177" s="6">
        <v>11</v>
      </c>
      <c r="F177" s="9" t="s">
        <v>16</v>
      </c>
      <c r="G177" s="9" t="s">
        <v>121</v>
      </c>
      <c r="H177" s="6">
        <v>1000</v>
      </c>
      <c r="I177" s="225">
        <v>2094659.12</v>
      </c>
      <c r="J177" s="226">
        <v>2214571.5</v>
      </c>
      <c r="K177" s="231">
        <f t="shared" si="91"/>
        <v>-119912.37999999989</v>
      </c>
      <c r="L177" s="79">
        <f t="shared" si="82"/>
        <v>442914.30000000005</v>
      </c>
      <c r="M177" s="79"/>
      <c r="N177" s="79"/>
      <c r="O177" s="79"/>
      <c r="P177" s="79"/>
      <c r="Q177" s="79"/>
      <c r="R177" s="79"/>
      <c r="S177" s="79"/>
      <c r="T177" s="79"/>
      <c r="U177" s="79"/>
      <c r="V177" s="80">
        <f t="shared" si="92"/>
        <v>442914.30000000005</v>
      </c>
      <c r="W177" s="94">
        <f t="shared" si="93"/>
        <v>1651744.82</v>
      </c>
      <c r="X177" s="262">
        <f t="shared" si="94"/>
        <v>1531832.4400000002</v>
      </c>
    </row>
    <row r="178" spans="1:24" x14ac:dyDescent="0.3">
      <c r="A178" s="22" t="s">
        <v>150</v>
      </c>
      <c r="B178" s="51" t="s">
        <v>181</v>
      </c>
      <c r="C178" s="47" t="s">
        <v>163</v>
      </c>
      <c r="D178" s="384">
        <v>16879</v>
      </c>
      <c r="E178" s="6">
        <v>12</v>
      </c>
      <c r="F178" s="9" t="s">
        <v>16</v>
      </c>
      <c r="G178" s="16" t="s">
        <v>123</v>
      </c>
      <c r="H178" s="6">
        <v>75</v>
      </c>
      <c r="I178" s="225">
        <v>1228598.75</v>
      </c>
      <c r="J178" s="226">
        <v>1298144.8700000001</v>
      </c>
      <c r="K178" s="231">
        <f t="shared" si="91"/>
        <v>-69546.120000000112</v>
      </c>
      <c r="L178" s="79">
        <f>J178*20%</f>
        <v>259628.97400000005</v>
      </c>
      <c r="M178" s="79"/>
      <c r="N178" s="79"/>
      <c r="O178" s="79"/>
      <c r="P178" s="79"/>
      <c r="Q178" s="79"/>
      <c r="R178" s="79"/>
      <c r="S178" s="79"/>
      <c r="T178" s="79"/>
      <c r="U178" s="79"/>
      <c r="V178" s="80">
        <f t="shared" si="92"/>
        <v>259628.97400000005</v>
      </c>
      <c r="W178" s="94">
        <f t="shared" si="93"/>
        <v>968969.77599999995</v>
      </c>
      <c r="X178" s="262">
        <f t="shared" si="94"/>
        <v>899423.65599999984</v>
      </c>
    </row>
    <row r="179" spans="1:24" x14ac:dyDescent="0.3">
      <c r="A179" s="22" t="s">
        <v>150</v>
      </c>
      <c r="B179" s="51" t="s">
        <v>181</v>
      </c>
      <c r="C179" s="47" t="s">
        <v>163</v>
      </c>
      <c r="D179" s="384">
        <v>16879</v>
      </c>
      <c r="E179" s="6">
        <v>13</v>
      </c>
      <c r="F179" s="9" t="s">
        <v>16</v>
      </c>
      <c r="G179" s="9" t="s">
        <v>124</v>
      </c>
      <c r="H179" s="6">
        <v>30</v>
      </c>
      <c r="I179" s="225">
        <v>2295873.41</v>
      </c>
      <c r="J179" s="226">
        <v>2424188.91</v>
      </c>
      <c r="K179" s="231">
        <f t="shared" si="91"/>
        <v>-128315.5</v>
      </c>
      <c r="L179" s="79">
        <f>J179*20%</f>
        <v>484837.78200000006</v>
      </c>
      <c r="M179" s="79"/>
      <c r="N179" s="79"/>
      <c r="O179" s="79"/>
      <c r="P179" s="79"/>
      <c r="Q179" s="79"/>
      <c r="R179" s="79"/>
      <c r="S179" s="79"/>
      <c r="T179" s="79"/>
      <c r="U179" s="79"/>
      <c r="V179" s="80">
        <f t="shared" si="92"/>
        <v>484837.78200000006</v>
      </c>
      <c r="W179" s="94">
        <f t="shared" si="93"/>
        <v>1811035.628</v>
      </c>
      <c r="X179" s="262">
        <f t="shared" si="94"/>
        <v>1682720.128</v>
      </c>
    </row>
    <row r="180" spans="1:24" s="31" customFormat="1" x14ac:dyDescent="0.3">
      <c r="A180" s="31" t="s">
        <v>157</v>
      </c>
      <c r="B180" s="51"/>
      <c r="C180" s="218"/>
      <c r="D180" s="384"/>
      <c r="E180" s="1"/>
      <c r="F180" s="214"/>
      <c r="G180" s="214"/>
      <c r="H180" s="1">
        <f>SUM(H173:H179)</f>
        <v>1885</v>
      </c>
      <c r="I180" s="235">
        <f t="shared" ref="I180:J180" si="95">SUM(I173:I179)</f>
        <v>11439221.390000001</v>
      </c>
      <c r="J180" s="235">
        <f t="shared" si="95"/>
        <v>11783238.25</v>
      </c>
      <c r="K180" s="235">
        <f t="shared" ref="K180" si="96">SUM(K173:K179)</f>
        <v>-344016.8600000001</v>
      </c>
      <c r="L180" s="235">
        <f t="shared" ref="L180" si="97">SUM(L173:L179)</f>
        <v>2356647.6500000004</v>
      </c>
      <c r="M180" s="235">
        <f t="shared" ref="M180" si="98">SUM(M173:M179)</f>
        <v>0</v>
      </c>
      <c r="N180" s="235">
        <f t="shared" ref="N180" si="99">SUM(N173:N179)</f>
        <v>0</v>
      </c>
      <c r="O180" s="235">
        <f t="shared" ref="O180" si="100">SUM(O173:O179)</f>
        <v>0</v>
      </c>
      <c r="P180" s="235">
        <f t="shared" ref="P180" si="101">SUM(P173:P179)</f>
        <v>0</v>
      </c>
      <c r="Q180" s="235">
        <f t="shared" ref="Q180" si="102">SUM(Q173:Q179)</f>
        <v>0</v>
      </c>
      <c r="R180" s="235">
        <f t="shared" ref="R180" si="103">SUM(R173:R179)</f>
        <v>0</v>
      </c>
      <c r="S180" s="235">
        <f t="shared" ref="S180" si="104">SUM(S173:S179)</f>
        <v>0</v>
      </c>
      <c r="T180" s="235">
        <f t="shared" ref="T180" si="105">SUM(T173:T179)</f>
        <v>0</v>
      </c>
      <c r="U180" s="235">
        <f t="shared" ref="U180" si="106">SUM(U173:U179)</f>
        <v>0</v>
      </c>
      <c r="V180" s="235">
        <f t="shared" ref="V180" si="107">SUM(V173:V179)</f>
        <v>2356647.6500000004</v>
      </c>
      <c r="W180" s="235">
        <f t="shared" ref="W180:X180" si="108">SUM(W173:W179)</f>
        <v>9082573.7400000002</v>
      </c>
      <c r="X180" s="235">
        <f t="shared" si="108"/>
        <v>8738556.879999999</v>
      </c>
    </row>
    <row r="181" spans="1:24" x14ac:dyDescent="0.3">
      <c r="A181" s="22" t="s">
        <v>150</v>
      </c>
      <c r="B181" s="51" t="s">
        <v>181</v>
      </c>
      <c r="C181" s="47" t="s">
        <v>163</v>
      </c>
      <c r="D181" s="384">
        <v>16879</v>
      </c>
      <c r="E181" s="6">
        <v>3</v>
      </c>
      <c r="F181" s="10" t="s">
        <v>45</v>
      </c>
      <c r="G181" s="16" t="s">
        <v>122</v>
      </c>
      <c r="H181" s="6">
        <v>1000</v>
      </c>
      <c r="I181" s="225">
        <f>I168</f>
        <v>3126304.2513624178</v>
      </c>
      <c r="J181" s="226">
        <v>2813673.83</v>
      </c>
      <c r="K181" s="231">
        <f t="shared" si="91"/>
        <v>312630.42136241775</v>
      </c>
      <c r="L181" s="79">
        <f t="shared" ref="L181:L191" si="109">J181*20%</f>
        <v>562734.76600000006</v>
      </c>
      <c r="M181" s="79"/>
      <c r="N181" s="79"/>
      <c r="O181" s="79"/>
      <c r="P181" s="79"/>
      <c r="Q181" s="79"/>
      <c r="R181" s="79"/>
      <c r="S181" s="79"/>
      <c r="T181" s="79"/>
      <c r="U181" s="79"/>
      <c r="V181" s="80">
        <f t="shared" si="92"/>
        <v>562734.76600000006</v>
      </c>
      <c r="W181" s="94">
        <f t="shared" si="93"/>
        <v>2563569.485362418</v>
      </c>
      <c r="X181" s="262">
        <f t="shared" si="94"/>
        <v>2876199.9067248357</v>
      </c>
    </row>
    <row r="182" spans="1:24" x14ac:dyDescent="0.3">
      <c r="A182" s="22" t="s">
        <v>150</v>
      </c>
      <c r="B182" s="51" t="s">
        <v>181</v>
      </c>
      <c r="C182" s="47" t="s">
        <v>163</v>
      </c>
      <c r="D182" s="384">
        <v>16879</v>
      </c>
      <c r="E182" s="6">
        <v>4</v>
      </c>
      <c r="F182" s="10" t="s">
        <v>45</v>
      </c>
      <c r="G182" s="10" t="s">
        <v>123</v>
      </c>
      <c r="H182" s="6">
        <v>75</v>
      </c>
      <c r="I182" s="225">
        <f>I168</f>
        <v>3126304.2513624178</v>
      </c>
      <c r="J182" s="226">
        <v>2813673.83</v>
      </c>
      <c r="K182" s="231">
        <f t="shared" si="91"/>
        <v>312630.42136241775</v>
      </c>
      <c r="L182" s="79">
        <f t="shared" si="109"/>
        <v>562734.76600000006</v>
      </c>
      <c r="M182" s="79"/>
      <c r="N182" s="79"/>
      <c r="O182" s="79"/>
      <c r="P182" s="79"/>
      <c r="Q182" s="79"/>
      <c r="R182" s="79"/>
      <c r="S182" s="79"/>
      <c r="T182" s="79"/>
      <c r="U182" s="79"/>
      <c r="V182" s="80">
        <f t="shared" si="92"/>
        <v>562734.76600000006</v>
      </c>
      <c r="W182" s="94">
        <f t="shared" si="93"/>
        <v>2563569.485362418</v>
      </c>
      <c r="X182" s="262">
        <f t="shared" si="94"/>
        <v>2876199.9067248357</v>
      </c>
    </row>
    <row r="183" spans="1:24" s="31" customFormat="1" x14ac:dyDescent="0.3">
      <c r="A183" s="31" t="s">
        <v>157</v>
      </c>
      <c r="B183" s="51" t="s">
        <v>181</v>
      </c>
      <c r="C183" s="237"/>
      <c r="D183" s="398"/>
      <c r="E183" s="11"/>
      <c r="F183" s="238"/>
      <c r="G183" s="238"/>
      <c r="H183" s="11">
        <f>SUM(H181:H182)</f>
        <v>1075</v>
      </c>
      <c r="I183" s="241">
        <f t="shared" ref="I183:X183" si="110">SUM(I181:I182)</f>
        <v>6252608.5027248356</v>
      </c>
      <c r="J183" s="241">
        <f t="shared" si="110"/>
        <v>5627347.6600000001</v>
      </c>
      <c r="K183" s="241">
        <f t="shared" si="110"/>
        <v>625260.8427248355</v>
      </c>
      <c r="L183" s="241">
        <f t="shared" si="110"/>
        <v>1125469.5320000001</v>
      </c>
      <c r="M183" s="241">
        <f t="shared" si="110"/>
        <v>0</v>
      </c>
      <c r="N183" s="241">
        <f t="shared" si="110"/>
        <v>0</v>
      </c>
      <c r="O183" s="241">
        <f t="shared" si="110"/>
        <v>0</v>
      </c>
      <c r="P183" s="241">
        <f t="shared" si="110"/>
        <v>0</v>
      </c>
      <c r="Q183" s="241">
        <f t="shared" si="110"/>
        <v>0</v>
      </c>
      <c r="R183" s="241">
        <f t="shared" si="110"/>
        <v>0</v>
      </c>
      <c r="S183" s="241">
        <f t="shared" si="110"/>
        <v>0</v>
      </c>
      <c r="T183" s="241">
        <f t="shared" si="110"/>
        <v>0</v>
      </c>
      <c r="U183" s="241">
        <f t="shared" si="110"/>
        <v>0</v>
      </c>
      <c r="V183" s="241">
        <f t="shared" si="110"/>
        <v>1125469.5320000001</v>
      </c>
      <c r="W183" s="241">
        <f t="shared" si="110"/>
        <v>5127138.970724836</v>
      </c>
      <c r="X183" s="241">
        <f t="shared" si="110"/>
        <v>5752399.8134496715</v>
      </c>
    </row>
    <row r="184" spans="1:24" ht="16.2" thickBot="1" x14ac:dyDescent="0.35">
      <c r="A184" s="194" t="s">
        <v>152</v>
      </c>
      <c r="B184" s="194"/>
      <c r="C184" s="184"/>
      <c r="D184" s="399"/>
      <c r="E184" s="185"/>
      <c r="F184" s="185"/>
      <c r="G184" s="185"/>
      <c r="H184" s="181">
        <f>H180+H183</f>
        <v>2960</v>
      </c>
      <c r="I184" s="207">
        <f t="shared" ref="I184:X184" si="111">I180+I183</f>
        <v>17691829.892724834</v>
      </c>
      <c r="J184" s="207">
        <f>J180+J183</f>
        <v>17410585.91</v>
      </c>
      <c r="K184" s="207">
        <f t="shared" si="111"/>
        <v>281243.9827248354</v>
      </c>
      <c r="L184" s="207">
        <f t="shared" si="111"/>
        <v>3482117.1820000005</v>
      </c>
      <c r="M184" s="207">
        <f t="shared" si="111"/>
        <v>0</v>
      </c>
      <c r="N184" s="207">
        <f t="shared" si="111"/>
        <v>0</v>
      </c>
      <c r="O184" s="207">
        <f t="shared" si="111"/>
        <v>0</v>
      </c>
      <c r="P184" s="207">
        <f t="shared" si="111"/>
        <v>0</v>
      </c>
      <c r="Q184" s="207">
        <f t="shared" si="111"/>
        <v>0</v>
      </c>
      <c r="R184" s="207">
        <f t="shared" si="111"/>
        <v>0</v>
      </c>
      <c r="S184" s="207">
        <f t="shared" si="111"/>
        <v>0</v>
      </c>
      <c r="T184" s="207">
        <f t="shared" si="111"/>
        <v>0</v>
      </c>
      <c r="U184" s="207">
        <f t="shared" si="111"/>
        <v>0</v>
      </c>
      <c r="V184" s="207">
        <f t="shared" si="111"/>
        <v>3482117.1820000005</v>
      </c>
      <c r="W184" s="207">
        <f t="shared" si="111"/>
        <v>14209712.710724836</v>
      </c>
      <c r="X184" s="207">
        <f t="shared" si="111"/>
        <v>14490956.69344967</v>
      </c>
    </row>
    <row r="185" spans="1:24" ht="16.2" thickBot="1" x14ac:dyDescent="0.35">
      <c r="A185" s="22" t="s">
        <v>148</v>
      </c>
      <c r="C185" s="182"/>
      <c r="D185" s="182"/>
      <c r="E185" s="182"/>
      <c r="F185" s="182"/>
      <c r="G185" s="182"/>
      <c r="H185" s="98"/>
      <c r="I185" s="98"/>
      <c r="J185" s="183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9"/>
      <c r="W185" s="98"/>
    </row>
    <row r="186" spans="1:24" ht="31.8" thickBot="1" x14ac:dyDescent="0.35">
      <c r="A186" s="215" t="s">
        <v>148</v>
      </c>
      <c r="B186" s="405" t="s">
        <v>168</v>
      </c>
      <c r="C186" s="216" t="s">
        <v>164</v>
      </c>
      <c r="D186" s="216" t="s">
        <v>169</v>
      </c>
      <c r="E186" s="217" t="s">
        <v>173</v>
      </c>
      <c r="F186" s="410" t="s">
        <v>27</v>
      </c>
      <c r="G186" s="410"/>
      <c r="H186" s="122" t="s">
        <v>4</v>
      </c>
      <c r="I186" s="122" t="s">
        <v>5</v>
      </c>
      <c r="J186" s="123" t="s">
        <v>131</v>
      </c>
      <c r="K186" s="122" t="s">
        <v>145</v>
      </c>
      <c r="L186" s="124">
        <v>0.2</v>
      </c>
      <c r="M186" s="122" t="s">
        <v>132</v>
      </c>
      <c r="N186" s="122" t="s">
        <v>133</v>
      </c>
      <c r="O186" s="122" t="s">
        <v>134</v>
      </c>
      <c r="P186" s="122" t="s">
        <v>135</v>
      </c>
      <c r="Q186" s="122" t="s">
        <v>136</v>
      </c>
      <c r="R186" s="122" t="s">
        <v>137</v>
      </c>
      <c r="S186" s="122" t="s">
        <v>138</v>
      </c>
      <c r="T186" s="122" t="s">
        <v>139</v>
      </c>
      <c r="U186" s="121" t="s">
        <v>140</v>
      </c>
      <c r="V186" s="122" t="s">
        <v>144</v>
      </c>
      <c r="W186" s="125" t="s">
        <v>141</v>
      </c>
      <c r="X186" s="252" t="s">
        <v>160</v>
      </c>
    </row>
    <row r="187" spans="1:24" x14ac:dyDescent="0.3">
      <c r="A187" s="47" t="s">
        <v>155</v>
      </c>
      <c r="B187" s="51" t="s">
        <v>181</v>
      </c>
      <c r="C187" s="40" t="s">
        <v>182</v>
      </c>
      <c r="D187" s="40">
        <v>16879</v>
      </c>
      <c r="E187" s="6">
        <v>14</v>
      </c>
      <c r="F187" s="9" t="s">
        <v>16</v>
      </c>
      <c r="G187" s="9" t="s">
        <v>126</v>
      </c>
      <c r="H187" s="6">
        <v>75</v>
      </c>
      <c r="I187" s="225">
        <v>705067.08</v>
      </c>
      <c r="J187" s="230">
        <v>648739.39</v>
      </c>
      <c r="K187" s="231">
        <f t="shared" ref="K187:K191" si="112">I187-J187</f>
        <v>56327.689999999944</v>
      </c>
      <c r="L187" s="79">
        <f t="shared" si="109"/>
        <v>129747.87800000001</v>
      </c>
      <c r="M187" s="79">
        <v>393436.7</v>
      </c>
      <c r="N187" s="79">
        <v>0</v>
      </c>
      <c r="O187" s="79"/>
      <c r="P187" s="79"/>
      <c r="Q187" s="79"/>
      <c r="R187" s="79"/>
      <c r="S187" s="79"/>
      <c r="T187" s="79"/>
      <c r="U187" s="79"/>
      <c r="V187" s="80">
        <f>SUM(L187:U187)</f>
        <v>523184.57800000004</v>
      </c>
      <c r="W187" s="94">
        <f t="shared" ref="W187:W188" si="113">I187-V187</f>
        <v>181882.50199999992</v>
      </c>
      <c r="X187" s="262">
        <f t="shared" ref="X187:X188" si="114">W187+K187</f>
        <v>238210.19199999986</v>
      </c>
    </row>
    <row r="188" spans="1:24" x14ac:dyDescent="0.3">
      <c r="A188" s="47" t="s">
        <v>155</v>
      </c>
      <c r="B188" s="51" t="s">
        <v>181</v>
      </c>
      <c r="C188" s="40" t="s">
        <v>182</v>
      </c>
      <c r="D188" s="40">
        <v>16879</v>
      </c>
      <c r="E188" s="6">
        <v>15</v>
      </c>
      <c r="F188" s="9" t="s">
        <v>16</v>
      </c>
      <c r="G188" s="9" t="s">
        <v>127</v>
      </c>
      <c r="H188" s="6">
        <v>350</v>
      </c>
      <c r="I188" s="225">
        <v>1502938.05</v>
      </c>
      <c r="J188" s="230">
        <v>1396857.16</v>
      </c>
      <c r="K188" s="231">
        <f t="shared" si="112"/>
        <v>106080.89000000013</v>
      </c>
      <c r="L188" s="79">
        <f t="shared" si="109"/>
        <v>279371.43199999997</v>
      </c>
      <c r="M188" s="79">
        <v>900373.29</v>
      </c>
      <c r="N188" s="79"/>
      <c r="O188" s="79"/>
      <c r="P188" s="79"/>
      <c r="Q188" s="79"/>
      <c r="R188" s="79"/>
      <c r="S188" s="79"/>
      <c r="T188" s="79"/>
      <c r="U188" s="79"/>
      <c r="V188" s="80">
        <f>SUM(L188:U188)</f>
        <v>1179744.7220000001</v>
      </c>
      <c r="W188" s="94">
        <f t="shared" si="113"/>
        <v>323193.32799999998</v>
      </c>
      <c r="X188" s="262">
        <f t="shared" si="114"/>
        <v>429274.21800000011</v>
      </c>
    </row>
    <row r="189" spans="1:24" s="31" customFormat="1" x14ac:dyDescent="0.3">
      <c r="A189" s="218" t="s">
        <v>156</v>
      </c>
      <c r="B189" s="51"/>
      <c r="C189" s="212"/>
      <c r="D189" s="40"/>
      <c r="E189" s="1"/>
      <c r="F189" s="226"/>
      <c r="G189" s="226"/>
      <c r="H189" s="227">
        <f>SUM(H187:H188)</f>
        <v>425</v>
      </c>
      <c r="I189" s="226">
        <f>SUM(I187:I188)</f>
        <v>2208005.13</v>
      </c>
      <c r="J189" s="226">
        <f t="shared" ref="J189:X189" si="115">SUM(J187:J188)</f>
        <v>2045596.5499999998</v>
      </c>
      <c r="K189" s="226">
        <f t="shared" si="115"/>
        <v>162408.58000000007</v>
      </c>
      <c r="L189" s="226">
        <f t="shared" si="115"/>
        <v>409119.31</v>
      </c>
      <c r="M189" s="226">
        <f t="shared" si="115"/>
        <v>1293809.99</v>
      </c>
      <c r="N189" s="226">
        <f t="shared" si="115"/>
        <v>0</v>
      </c>
      <c r="O189" s="226">
        <f t="shared" si="115"/>
        <v>0</v>
      </c>
      <c r="P189" s="226">
        <f t="shared" si="115"/>
        <v>0</v>
      </c>
      <c r="Q189" s="226">
        <f t="shared" si="115"/>
        <v>0</v>
      </c>
      <c r="R189" s="226">
        <f t="shared" si="115"/>
        <v>0</v>
      </c>
      <c r="S189" s="226">
        <f t="shared" si="115"/>
        <v>0</v>
      </c>
      <c r="T189" s="226">
        <f t="shared" si="115"/>
        <v>0</v>
      </c>
      <c r="U189" s="226">
        <f t="shared" si="115"/>
        <v>0</v>
      </c>
      <c r="V189" s="80">
        <f>SUM(L189:U189)</f>
        <v>1702929.3</v>
      </c>
      <c r="W189" s="228">
        <f t="shared" si="115"/>
        <v>505075.8299999999</v>
      </c>
      <c r="X189" s="228">
        <f t="shared" si="115"/>
        <v>667484.40999999992</v>
      </c>
    </row>
    <row r="190" spans="1:24" x14ac:dyDescent="0.3">
      <c r="A190" s="47" t="s">
        <v>150</v>
      </c>
      <c r="B190" s="51" t="s">
        <v>181</v>
      </c>
      <c r="C190" s="40" t="s">
        <v>163</v>
      </c>
      <c r="D190" s="40">
        <v>16879</v>
      </c>
      <c r="E190" s="6">
        <v>5</v>
      </c>
      <c r="F190" s="10" t="s">
        <v>45</v>
      </c>
      <c r="G190" s="10" t="s">
        <v>125</v>
      </c>
      <c r="H190" s="6">
        <v>380</v>
      </c>
      <c r="I190" s="225">
        <f>I168</f>
        <v>3126304.2513624178</v>
      </c>
      <c r="J190" s="230">
        <v>2813673.83</v>
      </c>
      <c r="K190" s="231">
        <f t="shared" si="112"/>
        <v>312630.42136241775</v>
      </c>
      <c r="L190" s="79">
        <f>J190*20%</f>
        <v>562734.76600000006</v>
      </c>
      <c r="M190" s="79"/>
      <c r="N190" s="79"/>
      <c r="O190" s="79"/>
      <c r="P190" s="79"/>
      <c r="Q190" s="79"/>
      <c r="R190" s="79"/>
      <c r="S190" s="79"/>
      <c r="T190" s="79"/>
      <c r="U190" s="79"/>
      <c r="V190" s="80">
        <f>SUM(L190:U190)</f>
        <v>562734.76600000006</v>
      </c>
      <c r="W190" s="94">
        <f>I190-V190</f>
        <v>2563569.485362418</v>
      </c>
      <c r="X190" s="262">
        <f t="shared" ref="X190:X191" si="116">W190+K190</f>
        <v>2876199.9067248357</v>
      </c>
    </row>
    <row r="191" spans="1:24" x14ac:dyDescent="0.3">
      <c r="A191" s="47" t="s">
        <v>150</v>
      </c>
      <c r="B191" s="51" t="s">
        <v>181</v>
      </c>
      <c r="C191" s="40" t="s">
        <v>163</v>
      </c>
      <c r="D191" s="40">
        <v>16879</v>
      </c>
      <c r="E191" s="6">
        <v>6</v>
      </c>
      <c r="F191" s="10" t="s">
        <v>45</v>
      </c>
      <c r="G191" s="9" t="s">
        <v>128</v>
      </c>
      <c r="H191" s="6">
        <v>250</v>
      </c>
      <c r="I191" s="225">
        <f>I168</f>
        <v>3126304.2513624178</v>
      </c>
      <c r="J191" s="230">
        <v>2813673.83</v>
      </c>
      <c r="K191" s="231">
        <f t="shared" si="112"/>
        <v>312630.42136241775</v>
      </c>
      <c r="L191" s="79">
        <f t="shared" si="109"/>
        <v>562734.76600000006</v>
      </c>
      <c r="M191" s="79"/>
      <c r="N191" s="79"/>
      <c r="O191" s="79"/>
      <c r="P191" s="79"/>
      <c r="Q191" s="79"/>
      <c r="R191" s="79"/>
      <c r="S191" s="79"/>
      <c r="T191" s="79"/>
      <c r="U191" s="79"/>
      <c r="V191" s="80">
        <f>SUM(L191:U191)</f>
        <v>562734.76600000006</v>
      </c>
      <c r="W191" s="94">
        <f>I191-V191</f>
        <v>2563569.485362418</v>
      </c>
      <c r="X191" s="262">
        <f t="shared" si="116"/>
        <v>2876199.9067248357</v>
      </c>
    </row>
    <row r="192" spans="1:24" s="31" customFormat="1" x14ac:dyDescent="0.3">
      <c r="A192" s="218" t="s">
        <v>157</v>
      </c>
      <c r="B192" s="401"/>
      <c r="C192" s="212"/>
      <c r="D192" s="212"/>
      <c r="E192" s="1"/>
      <c r="F192" s="213"/>
      <c r="G192" s="214"/>
      <c r="H192" s="1">
        <f>SUM(H190:H191)</f>
        <v>630</v>
      </c>
      <c r="I192" s="180">
        <f>SUM(I190:I191)</f>
        <v>6252608.5027248356</v>
      </c>
      <c r="J192" s="180">
        <f>SUM(J190:J191)</f>
        <v>5627347.6600000001</v>
      </c>
      <c r="K192" s="180">
        <f t="shared" ref="K192:U192" si="117">SUM(K190:K191)</f>
        <v>625260.8427248355</v>
      </c>
      <c r="L192" s="180">
        <f t="shared" si="117"/>
        <v>1125469.5320000001</v>
      </c>
      <c r="M192" s="180">
        <f t="shared" si="117"/>
        <v>0</v>
      </c>
      <c r="N192" s="180">
        <f t="shared" si="117"/>
        <v>0</v>
      </c>
      <c r="O192" s="180">
        <f t="shared" si="117"/>
        <v>0</v>
      </c>
      <c r="P192" s="180">
        <f t="shared" si="117"/>
        <v>0</v>
      </c>
      <c r="Q192" s="180">
        <f t="shared" si="117"/>
        <v>0</v>
      </c>
      <c r="R192" s="180">
        <f t="shared" si="117"/>
        <v>0</v>
      </c>
      <c r="S192" s="180">
        <f t="shared" si="117"/>
        <v>0</v>
      </c>
      <c r="T192" s="180">
        <f t="shared" si="117"/>
        <v>0</v>
      </c>
      <c r="U192" s="180">
        <f t="shared" si="117"/>
        <v>0</v>
      </c>
      <c r="V192" s="180">
        <f>SUM(V190:V191)</f>
        <v>1125469.5320000001</v>
      </c>
      <c r="W192" s="219">
        <f>SUM(W190:W191)</f>
        <v>5127138.970724836</v>
      </c>
      <c r="X192" s="219">
        <f>SUM(X190:X191)</f>
        <v>5752399.8134496715</v>
      </c>
    </row>
    <row r="193" spans="1:24" s="31" customFormat="1" ht="16.2" thickBot="1" x14ac:dyDescent="0.35">
      <c r="A193" s="220" t="s">
        <v>148</v>
      </c>
      <c r="B193" s="406"/>
      <c r="C193" s="185"/>
      <c r="D193" s="185"/>
      <c r="E193" s="221"/>
      <c r="F193" s="222"/>
      <c r="G193" s="222"/>
      <c r="H193" s="223">
        <f>H189+H192</f>
        <v>1055</v>
      </c>
      <c r="I193" s="207">
        <f>I189+I192</f>
        <v>8460613.6327248365</v>
      </c>
      <c r="J193" s="207">
        <f t="shared" ref="J193:X193" si="118">J189+J192</f>
        <v>7672944.21</v>
      </c>
      <c r="K193" s="207">
        <f t="shared" si="118"/>
        <v>787669.42272483557</v>
      </c>
      <c r="L193" s="207">
        <f t="shared" si="118"/>
        <v>1534588.8420000002</v>
      </c>
      <c r="M193" s="207">
        <f t="shared" si="118"/>
        <v>1293809.99</v>
      </c>
      <c r="N193" s="207">
        <f t="shared" si="118"/>
        <v>0</v>
      </c>
      <c r="O193" s="207">
        <f t="shared" si="118"/>
        <v>0</v>
      </c>
      <c r="P193" s="207">
        <f t="shared" si="118"/>
        <v>0</v>
      </c>
      <c r="Q193" s="207">
        <f t="shared" si="118"/>
        <v>0</v>
      </c>
      <c r="R193" s="207">
        <f t="shared" si="118"/>
        <v>0</v>
      </c>
      <c r="S193" s="207">
        <f t="shared" si="118"/>
        <v>0</v>
      </c>
      <c r="T193" s="207">
        <f t="shared" si="118"/>
        <v>0</v>
      </c>
      <c r="U193" s="207">
        <f t="shared" si="118"/>
        <v>0</v>
      </c>
      <c r="V193" s="207">
        <f t="shared" si="118"/>
        <v>2828398.8320000004</v>
      </c>
      <c r="W193" s="224">
        <f t="shared" si="118"/>
        <v>5632214.8007248361</v>
      </c>
      <c r="X193" s="224">
        <f t="shared" si="118"/>
        <v>6419884.2234496716</v>
      </c>
    </row>
    <row r="194" spans="1:24" x14ac:dyDescent="0.3">
      <c r="E194" s="4"/>
      <c r="F194" s="179"/>
      <c r="G194" s="100"/>
      <c r="H194" s="100"/>
      <c r="I194" s="100"/>
      <c r="J194" s="108"/>
      <c r="K194" s="75"/>
      <c r="M194" s="75"/>
    </row>
    <row r="195" spans="1:24" s="31" customFormat="1" x14ac:dyDescent="0.3">
      <c r="E195" s="189"/>
      <c r="F195" s="190"/>
      <c r="G195" s="191"/>
      <c r="H195" s="191">
        <f t="shared" ref="H195:X195" si="119">H170+H184+H193</f>
        <v>8635</v>
      </c>
      <c r="I195" s="191">
        <f t="shared" si="119"/>
        <v>40919582.463055789</v>
      </c>
      <c r="J195" s="191">
        <f t="shared" si="119"/>
        <v>39703985.119999997</v>
      </c>
      <c r="K195" s="191">
        <f t="shared" si="119"/>
        <v>1215597.3430557882</v>
      </c>
      <c r="L195" s="191">
        <f t="shared" si="119"/>
        <v>7940797.0240000002</v>
      </c>
      <c r="M195" s="191">
        <f t="shared" si="119"/>
        <v>1293809.99</v>
      </c>
      <c r="N195" s="191">
        <f t="shared" si="119"/>
        <v>0</v>
      </c>
      <c r="O195" s="191">
        <f t="shared" si="119"/>
        <v>0</v>
      </c>
      <c r="P195" s="191">
        <f t="shared" si="119"/>
        <v>0</v>
      </c>
      <c r="Q195" s="191">
        <f t="shared" si="119"/>
        <v>0</v>
      </c>
      <c r="R195" s="191">
        <f t="shared" si="119"/>
        <v>0</v>
      </c>
      <c r="S195" s="191">
        <f t="shared" si="119"/>
        <v>0</v>
      </c>
      <c r="T195" s="191">
        <f t="shared" si="119"/>
        <v>0</v>
      </c>
      <c r="U195" s="191">
        <f t="shared" si="119"/>
        <v>0</v>
      </c>
      <c r="V195" s="191">
        <f t="shared" si="119"/>
        <v>9234607.0140000004</v>
      </c>
      <c r="W195" s="191">
        <f t="shared" si="119"/>
        <v>31684975.449055791</v>
      </c>
      <c r="X195" s="191">
        <f t="shared" si="119"/>
        <v>32900572.792111576</v>
      </c>
    </row>
    <row r="196" spans="1:24" s="31" customFormat="1" x14ac:dyDescent="0.3">
      <c r="E196" s="189"/>
      <c r="F196" s="190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</row>
    <row r="197" spans="1:24" s="31" customFormat="1" x14ac:dyDescent="0.3">
      <c r="E197" s="189"/>
      <c r="F197" s="190"/>
      <c r="G197" s="191" t="s">
        <v>158</v>
      </c>
      <c r="H197" s="191">
        <f>H156-H195</f>
        <v>-8635</v>
      </c>
      <c r="I197" s="191">
        <f>I156-I195</f>
        <v>0</v>
      </c>
      <c r="J197" s="191">
        <f>J156-J195</f>
        <v>-39703985.119999997</v>
      </c>
      <c r="K197" s="251">
        <f>K156-K195</f>
        <v>-1215597.3430557882</v>
      </c>
      <c r="L197" s="191">
        <f>L156-L195</f>
        <v>-7940797.0240000002</v>
      </c>
      <c r="M197" s="191">
        <f>M156-M195</f>
        <v>-1293809.99</v>
      </c>
      <c r="N197" s="191">
        <f>N156-N195</f>
        <v>0</v>
      </c>
      <c r="O197" s="191">
        <f>O156-O195</f>
        <v>0</v>
      </c>
      <c r="P197" s="191">
        <f>P156-P195</f>
        <v>0</v>
      </c>
      <c r="Q197" s="191">
        <f>Q156-Q195</f>
        <v>0</v>
      </c>
      <c r="R197" s="191">
        <f>R156-R195</f>
        <v>0</v>
      </c>
      <c r="S197" s="191">
        <f>S156-S195</f>
        <v>0</v>
      </c>
      <c r="T197" s="191">
        <f>T156-T195</f>
        <v>0</v>
      </c>
      <c r="U197" s="191">
        <f>U156-U195</f>
        <v>0</v>
      </c>
      <c r="V197" s="191">
        <f>V156-V195</f>
        <v>-9234607.0140000004</v>
      </c>
      <c r="W197" s="191">
        <f>W156-W195</f>
        <v>-31684975.449055791</v>
      </c>
      <c r="X197" s="191">
        <f>X156-X195</f>
        <v>-32900572.792111576</v>
      </c>
    </row>
    <row r="198" spans="1:24" s="31" customFormat="1" x14ac:dyDescent="0.3">
      <c r="E198" s="189"/>
      <c r="F198" s="190"/>
      <c r="G198" s="242" t="s">
        <v>147</v>
      </c>
      <c r="H198" s="243">
        <f>H189</f>
        <v>425</v>
      </c>
      <c r="I198" s="243">
        <f t="shared" ref="I198:X198" si="120">I189</f>
        <v>2208005.13</v>
      </c>
      <c r="J198" s="243">
        <f>J189</f>
        <v>2045596.5499999998</v>
      </c>
      <c r="K198" s="243">
        <f t="shared" si="120"/>
        <v>162408.58000000007</v>
      </c>
      <c r="L198" s="243">
        <f t="shared" si="120"/>
        <v>409119.31</v>
      </c>
      <c r="M198" s="243">
        <f t="shared" si="120"/>
        <v>1293809.99</v>
      </c>
      <c r="N198" s="243">
        <f t="shared" si="120"/>
        <v>0</v>
      </c>
      <c r="O198" s="243">
        <f t="shared" si="120"/>
        <v>0</v>
      </c>
      <c r="P198" s="243">
        <f t="shared" si="120"/>
        <v>0</v>
      </c>
      <c r="Q198" s="243">
        <f t="shared" si="120"/>
        <v>0</v>
      </c>
      <c r="R198" s="243">
        <f t="shared" si="120"/>
        <v>0</v>
      </c>
      <c r="S198" s="243">
        <f t="shared" si="120"/>
        <v>0</v>
      </c>
      <c r="T198" s="243">
        <f t="shared" si="120"/>
        <v>0</v>
      </c>
      <c r="U198" s="243">
        <f t="shared" si="120"/>
        <v>0</v>
      </c>
      <c r="V198" s="243">
        <f t="shared" si="120"/>
        <v>1702929.3</v>
      </c>
      <c r="W198" s="243">
        <f t="shared" si="120"/>
        <v>505075.8299999999</v>
      </c>
      <c r="X198" s="243">
        <f t="shared" si="120"/>
        <v>667484.40999999992</v>
      </c>
    </row>
    <row r="199" spans="1:24" s="31" customFormat="1" x14ac:dyDescent="0.3">
      <c r="E199" s="189"/>
      <c r="F199" s="190"/>
      <c r="G199" s="242" t="s">
        <v>153</v>
      </c>
      <c r="H199" s="243"/>
      <c r="I199" s="243"/>
      <c r="J199" s="243"/>
      <c r="K199" s="243"/>
      <c r="L199" s="243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</row>
    <row r="200" spans="1:24" s="31" customFormat="1" x14ac:dyDescent="0.3">
      <c r="E200" s="189"/>
      <c r="F200" s="190"/>
      <c r="G200" s="242" t="s">
        <v>154</v>
      </c>
      <c r="H200" s="243"/>
      <c r="I200" s="243"/>
      <c r="J200" s="243"/>
      <c r="K200" s="243"/>
      <c r="L200" s="243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</row>
    <row r="201" spans="1:24" s="31" customFormat="1" x14ac:dyDescent="0.3">
      <c r="E201" s="189"/>
      <c r="F201" s="190"/>
      <c r="G201" s="244" t="s">
        <v>163</v>
      </c>
      <c r="H201" s="245">
        <f>H170+H184+H192</f>
        <v>8210</v>
      </c>
      <c r="I201" s="245">
        <f t="shared" ref="I201:X201" si="121">I170+I184+I192</f>
        <v>38711577.333055787</v>
      </c>
      <c r="J201" s="245">
        <f t="shared" si="121"/>
        <v>37658388.57</v>
      </c>
      <c r="K201" s="245">
        <f t="shared" si="121"/>
        <v>1053188.7630557881</v>
      </c>
      <c r="L201" s="245">
        <f t="shared" si="121"/>
        <v>7531677.7139999997</v>
      </c>
      <c r="M201" s="245">
        <f t="shared" si="121"/>
        <v>0</v>
      </c>
      <c r="N201" s="245">
        <f t="shared" si="121"/>
        <v>0</v>
      </c>
      <c r="O201" s="245">
        <f t="shared" si="121"/>
        <v>0</v>
      </c>
      <c r="P201" s="245">
        <f t="shared" si="121"/>
        <v>0</v>
      </c>
      <c r="Q201" s="245">
        <f t="shared" si="121"/>
        <v>0</v>
      </c>
      <c r="R201" s="245">
        <f t="shared" si="121"/>
        <v>0</v>
      </c>
      <c r="S201" s="245">
        <f t="shared" si="121"/>
        <v>0</v>
      </c>
      <c r="T201" s="245">
        <f t="shared" si="121"/>
        <v>0</v>
      </c>
      <c r="U201" s="245">
        <f t="shared" si="121"/>
        <v>0</v>
      </c>
      <c r="V201" s="245">
        <f t="shared" si="121"/>
        <v>7531677.7139999997</v>
      </c>
      <c r="W201" s="245">
        <f t="shared" si="121"/>
        <v>31179899.619055793</v>
      </c>
      <c r="X201" s="245">
        <f t="shared" si="121"/>
        <v>32233088.382111579</v>
      </c>
    </row>
    <row r="202" spans="1:24" x14ac:dyDescent="0.3">
      <c r="E202" s="4"/>
      <c r="F202" s="179"/>
      <c r="G202" s="244" t="s">
        <v>153</v>
      </c>
      <c r="H202" s="246"/>
      <c r="I202" s="246"/>
      <c r="J202" s="247"/>
      <c r="K202" s="248"/>
      <c r="L202" s="249"/>
      <c r="M202" s="75"/>
    </row>
    <row r="203" spans="1:24" x14ac:dyDescent="0.3">
      <c r="E203" s="4"/>
      <c r="G203" s="244" t="s">
        <v>163</v>
      </c>
      <c r="H203" s="245"/>
      <c r="I203" s="249"/>
      <c r="J203" s="250"/>
      <c r="K203" s="249"/>
      <c r="L203" s="249"/>
      <c r="M203" s="75"/>
    </row>
    <row r="204" spans="1:24" x14ac:dyDescent="0.3">
      <c r="E204" s="411"/>
      <c r="F204" s="411"/>
      <c r="G204" s="411"/>
      <c r="H204" s="411"/>
      <c r="I204" s="411"/>
      <c r="J204" s="232"/>
      <c r="M204" s="75"/>
    </row>
    <row r="205" spans="1:24" x14ac:dyDescent="0.3">
      <c r="A205" s="102"/>
      <c r="B205" s="102"/>
      <c r="C205" s="102"/>
      <c r="D205" s="102"/>
      <c r="E205" s="102"/>
      <c r="F205" s="102"/>
      <c r="G205" s="102"/>
      <c r="H205" s="102"/>
      <c r="I205" s="102"/>
      <c r="K205" s="102"/>
    </row>
    <row r="206" spans="1:24" x14ac:dyDescent="0.3">
      <c r="I206" s="101"/>
    </row>
  </sheetData>
  <mergeCells count="26">
    <mergeCell ref="F103:G103"/>
    <mergeCell ref="F110:G110"/>
    <mergeCell ref="C31:W31"/>
    <mergeCell ref="C32:W32"/>
    <mergeCell ref="C33:W33"/>
    <mergeCell ref="E204:I204"/>
    <mergeCell ref="C134:W134"/>
    <mergeCell ref="C135:W135"/>
    <mergeCell ref="C136:W136"/>
    <mergeCell ref="E1:I1"/>
    <mergeCell ref="E2:G2"/>
    <mergeCell ref="F11:G11"/>
    <mergeCell ref="F17:G17"/>
    <mergeCell ref="F9:G9"/>
    <mergeCell ref="F16:G16"/>
    <mergeCell ref="E10:V10"/>
    <mergeCell ref="F118:G118"/>
    <mergeCell ref="F38:G38"/>
    <mergeCell ref="F57:G57"/>
    <mergeCell ref="F71:G71"/>
    <mergeCell ref="F90:G90"/>
    <mergeCell ref="F121:G121"/>
    <mergeCell ref="F124:G124"/>
    <mergeCell ref="F159:G159"/>
    <mergeCell ref="F172:G172"/>
    <mergeCell ref="F186:G186"/>
  </mergeCells>
  <phoneticPr fontId="14" type="noConversion"/>
  <printOptions horizontalCentered="1"/>
  <pageMargins left="0.19685039370078741" right="0.19685039370078741" top="0.39370078740157483" bottom="0.19685039370078741" header="0.31496062992125984" footer="0.31496062992125984"/>
  <pageSetup scale="95" fitToWidth="0" fitToHeight="0" orientation="landscape" horizontalDpi="0" verticalDpi="0" r:id="rId1"/>
  <ignoredErrors>
    <ignoredError sqref="V189:X189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Proyectos Ejecucion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GOMEZ</dc:creator>
  <cp:lastModifiedBy>COMARKY REYES</cp:lastModifiedBy>
  <cp:lastPrinted>2026-04-29T15:39:01Z</cp:lastPrinted>
  <dcterms:created xsi:type="dcterms:W3CDTF">2026-03-18T16:24:40Z</dcterms:created>
  <dcterms:modified xsi:type="dcterms:W3CDTF">2026-05-08T01:04:13Z</dcterms:modified>
</cp:coreProperties>
</file>